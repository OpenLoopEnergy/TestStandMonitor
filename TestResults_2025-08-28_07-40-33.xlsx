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<sst xmlns="http://schemas.openxmlformats.org/spreadsheetml/2006/main" count="67" uniqueCount="51">
  <si>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</si>
  <si>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</si>
  <si>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</si>
  <si>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</si>
  <si>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</si>
  <si>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</si>
  <si>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</si>
  <si>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</si>
  <si>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</si>
  <si>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Main Pump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</si>
  <si>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</si>
  <si>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</si>
  <si>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</si>
  <si>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</si>
  <si>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</si>
  <si>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</si>
  <si>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</si>
  <si>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</si>
  <si>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</si>
  <si>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</si>
  <si>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</si>
  <si>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</si>
  <si>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</si>
  <si>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</si>
  <si>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</si>
  <si>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</si>
  <si>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</si>
  <si>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</si>
  <si>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</si>
  <si>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</si>
  <si>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</si>
  <si>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</si>
  <si>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</si>
  <si>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2025-08-28</t>
  </si>
  <si>
    <t>14:34:58</t>
  </si>
  <si>
    <t>14:35:40</t>
  </si>
  <si>
    <t>14:35:45</t>
  </si>
  <si>
    <t>14:36:01</t>
  </si>
  <si>
    <t>14:36:06</t>
  </si>
  <si>
    <t>14:36:12</t>
  </si>
  <si>
    <t>14:36:53</t>
  </si>
  <si>
    <t>14:36:58</t>
  </si>
  <si>
    <t>14:37:04</t>
  </si>
  <si>
    <t>14:37:14</t>
  </si>
  <si>
    <t>14:37:20</t>
  </si>
  <si>
    <t>14:37:25</t>
  </si>
  <si>
    <t>14:38:16</t>
  </si>
  <si>
    <t>14:38:21</t>
  </si>
  <si>
    <t>14:38:37</t>
  </si>
  <si>
    <t>14:38:43</t>
  </si>
  <si>
    <t>14:38:48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</si>
</sst>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cat>
            <c:strRef>
              <c:f>Data!$A$11:$A$27</c:f>
              <c:strCache>
                <c:ptCount val="17"/>
                <c:pt idx="0">
                  <c:v>2025-08-28</c:v>
                </c:pt>
                <c:pt idx="1">
                  <c:v>2025-08-28</c:v>
                </c:pt>
                <c:pt idx="2">
                  <c:v>2025-08-28</c:v>
                </c:pt>
                <c:pt idx="3">
                  <c:v>2025-08-28</c:v>
                </c:pt>
                <c:pt idx="4">
                  <c:v>2025-08-28</c:v>
                </c:pt>
                <c:pt idx="5">
                  <c:v>2025-08-28</c:v>
                </c:pt>
                <c:pt idx="6">
                  <c:v>2025-08-28</c:v>
                </c:pt>
                <c:pt idx="7">
                  <c:v>2025-08-28</c:v>
                </c:pt>
                <c:pt idx="8">
                  <c:v>2025-08-28</c:v>
                </c:pt>
                <c:pt idx="9">
                  <c:v>2025-08-28</c:v>
                </c:pt>
                <c:pt idx="10">
                  <c:v>2025-08-28</c:v>
                </c:pt>
                <c:pt idx="11">
                  <c:v>2025-08-28</c:v>
                </c:pt>
                <c:pt idx="12">
                  <c:v>2025-08-28</c:v>
                </c:pt>
                <c:pt idx="13">
                  <c:v>2025-08-28</c:v>
                </c:pt>
                <c:pt idx="14">
                  <c:v>2025-08-28</c:v>
                </c:pt>
                <c:pt idx="15">
                  <c:v>2025-08-28</c:v>
                </c:pt>
                <c:pt idx="16">
                  <c:v>2025-08-28</c:v>
                </c:pt>
              </c:strCache>
            </c:strRef>
          </c:cat>
          <c:val>
            <c:numRef>
              <c:f>Data!$V$11:$V$27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7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3" width="6.7109375" customWidth="1"/>
    <col min="4" max="4" width="6.7109375" customWidth="1"/>
    <col min="5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2" width="8.7109375" customWidth="1"/>
    <col min="13" max="13" width="7.7109375" customWidth="1"/>
    <col min="14" max="14" width="6.7109375" customWidth="1"/>
    <col min="15" max="15" width="5.7109375" customWidth="1"/>
    <col min="16" max="16" width="6.7109375" customWidth="1"/>
    <col min="17" max="17" width="5.7109375" customWidth="1"/>
    <col min="18" max="18" width="5.7109375" customWidth="1"/>
    <col min="19" max="19" width="4.7109375" customWidth="1"/>
    <col min="20" max="20" width="6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1437</v>
      </c>
    </row>
    <row r="4" spans="1:22">
      <c r="A4" t="s">
        <v>3</v>
      </c>
      <c r="B4">
        <v>4500</v>
      </c>
    </row>
    <row r="5" spans="1:22">
      <c r="A5" t="s">
        <v>4</v>
      </c>
      <c r="B5">
        <v>14</v>
      </c>
    </row>
    <row r="6" spans="1:22">
      <c r="A6" t="s">
        <v>5</v>
      </c>
      <c r="B6" t="s">
        <v>10</v>
      </c>
    </row>
    <row r="7" spans="1:22">
      <c r="A7" t="s">
        <v>6</v>
      </c>
      <c r="B7">
        <v>37852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34</v>
      </c>
      <c r="C11">
        <v>1206</v>
      </c>
      <c r="D11">
        <v>1200</v>
      </c>
      <c r="E11">
        <v>1000</v>
      </c>
      <c r="F11">
        <v>1</v>
      </c>
      <c r="G11">
        <v>0</v>
      </c>
      <c r="H11">
        <v>0</v>
      </c>
      <c r="I11">
        <v>0</v>
      </c>
      <c r="J11">
        <v>130</v>
      </c>
      <c r="K11" s="1">
        <v>76.34</v>
      </c>
      <c r="L11">
        <v>1002</v>
      </c>
      <c r="M11">
        <v>20715</v>
      </c>
      <c r="N11">
        <v>1488</v>
      </c>
      <c r="O11">
        <v>833</v>
      </c>
      <c r="P11">
        <v>398</v>
      </c>
      <c r="Q11">
        <v>309</v>
      </c>
      <c r="R11">
        <v>473</v>
      </c>
      <c r="S11">
        <v>0</v>
      </c>
      <c r="T11">
        <v>598</v>
      </c>
      <c r="U11" s="1">
        <f>$B$5*C11/231</f>
        <v>0</v>
      </c>
      <c r="V11" s="2">
        <f>K11/U11</f>
        <v>0</v>
      </c>
    </row>
    <row r="12" spans="1:22">
      <c r="A12" t="s">
        <v>33</v>
      </c>
      <c r="B12" t="s">
        <v>35</v>
      </c>
      <c r="C12">
        <v>1225</v>
      </c>
      <c r="D12">
        <v>1200</v>
      </c>
      <c r="E12">
        <v>1000</v>
      </c>
      <c r="F12">
        <v>1</v>
      </c>
      <c r="G12">
        <v>1995</v>
      </c>
      <c r="H12">
        <v>1000</v>
      </c>
      <c r="I12">
        <v>0</v>
      </c>
      <c r="J12">
        <v>159</v>
      </c>
      <c r="K12" s="1">
        <v>75.53</v>
      </c>
      <c r="L12">
        <v>1011</v>
      </c>
      <c r="M12">
        <v>20715</v>
      </c>
      <c r="N12">
        <v>1496</v>
      </c>
      <c r="O12">
        <v>833</v>
      </c>
      <c r="P12">
        <v>1085</v>
      </c>
      <c r="Q12">
        <v>308</v>
      </c>
      <c r="R12">
        <v>501</v>
      </c>
      <c r="S12">
        <v>0</v>
      </c>
      <c r="T12">
        <v>392</v>
      </c>
      <c r="U12" s="1">
        <f>$B$5*C12/231</f>
        <v>0</v>
      </c>
      <c r="V12" s="2">
        <f>K12/U12</f>
        <v>0</v>
      </c>
    </row>
    <row r="13" spans="1:22">
      <c r="A13" t="s">
        <v>33</v>
      </c>
      <c r="B13" t="s">
        <v>36</v>
      </c>
      <c r="C13">
        <v>1225</v>
      </c>
      <c r="D13">
        <v>1200</v>
      </c>
      <c r="E13">
        <v>1000</v>
      </c>
      <c r="F13">
        <v>1</v>
      </c>
      <c r="G13">
        <v>1595</v>
      </c>
      <c r="H13">
        <v>1000</v>
      </c>
      <c r="I13">
        <v>0</v>
      </c>
      <c r="J13">
        <v>159</v>
      </c>
      <c r="K13" s="1">
        <v>76.14</v>
      </c>
      <c r="L13">
        <v>1008</v>
      </c>
      <c r="M13">
        <v>20715</v>
      </c>
      <c r="N13">
        <v>1496</v>
      </c>
      <c r="O13">
        <v>833</v>
      </c>
      <c r="P13">
        <v>1067</v>
      </c>
      <c r="Q13">
        <v>309</v>
      </c>
      <c r="R13">
        <v>500</v>
      </c>
      <c r="S13">
        <v>0</v>
      </c>
      <c r="T13">
        <v>398</v>
      </c>
      <c r="U13" s="1">
        <f>$B$5*C13/231</f>
        <v>0</v>
      </c>
      <c r="V13" s="2">
        <f>K13/U13</f>
        <v>0</v>
      </c>
    </row>
    <row r="14" spans="1:22">
      <c r="A14" t="s">
        <v>33</v>
      </c>
      <c r="B14" t="s">
        <v>37</v>
      </c>
      <c r="C14">
        <v>1221</v>
      </c>
      <c r="D14">
        <v>1200</v>
      </c>
      <c r="E14">
        <v>1000</v>
      </c>
      <c r="F14">
        <v>1</v>
      </c>
      <c r="G14">
        <v>0</v>
      </c>
      <c r="H14">
        <v>1000</v>
      </c>
      <c r="I14">
        <v>0</v>
      </c>
      <c r="J14">
        <v>157</v>
      </c>
      <c r="K14" s="1">
        <v>55.28</v>
      </c>
      <c r="L14">
        <v>1053</v>
      </c>
      <c r="M14">
        <v>20715</v>
      </c>
      <c r="N14">
        <v>1502</v>
      </c>
      <c r="O14">
        <v>833</v>
      </c>
      <c r="P14">
        <v>445</v>
      </c>
      <c r="Q14">
        <v>309</v>
      </c>
      <c r="R14">
        <v>495</v>
      </c>
      <c r="S14">
        <v>0</v>
      </c>
      <c r="T14">
        <v>1002</v>
      </c>
      <c r="U14" s="1">
        <f>$B$5*C14/231</f>
        <v>0</v>
      </c>
      <c r="V14" s="2">
        <f>K14/U14</f>
        <v>0</v>
      </c>
    </row>
    <row r="15" spans="1:22">
      <c r="A15" t="s">
        <v>33</v>
      </c>
      <c r="B15" t="s">
        <v>38</v>
      </c>
      <c r="C15">
        <v>1215</v>
      </c>
      <c r="D15">
        <v>1200</v>
      </c>
      <c r="E15">
        <v>1000</v>
      </c>
      <c r="F15">
        <v>1</v>
      </c>
      <c r="G15">
        <v>0</v>
      </c>
      <c r="H15">
        <v>1000</v>
      </c>
      <c r="I15">
        <v>0</v>
      </c>
      <c r="J15">
        <v>159</v>
      </c>
      <c r="K15" s="1">
        <v>75.33</v>
      </c>
      <c r="L15">
        <v>1008</v>
      </c>
      <c r="M15">
        <v>20715</v>
      </c>
      <c r="N15">
        <v>1498</v>
      </c>
      <c r="O15">
        <v>833</v>
      </c>
      <c r="P15">
        <v>392</v>
      </c>
      <c r="Q15">
        <v>309</v>
      </c>
      <c r="R15">
        <v>500</v>
      </c>
      <c r="S15">
        <v>0</v>
      </c>
      <c r="T15">
        <v>1014</v>
      </c>
      <c r="U15" s="1">
        <f>$B$5*C15/231</f>
        <v>0</v>
      </c>
      <c r="V15" s="2">
        <f>K15/U15</f>
        <v>0</v>
      </c>
    </row>
    <row r="16" spans="1:22">
      <c r="A16" t="s">
        <v>33</v>
      </c>
      <c r="B16" t="s">
        <v>39</v>
      </c>
      <c r="C16">
        <v>1184</v>
      </c>
      <c r="D16">
        <v>1200</v>
      </c>
      <c r="E16">
        <v>1000</v>
      </c>
      <c r="F16">
        <v>1</v>
      </c>
      <c r="G16">
        <v>0</v>
      </c>
      <c r="H16">
        <v>1000</v>
      </c>
      <c r="I16">
        <v>0</v>
      </c>
      <c r="J16">
        <v>156</v>
      </c>
      <c r="K16" s="1">
        <v>75.93000000000001</v>
      </c>
      <c r="L16">
        <v>1011</v>
      </c>
      <c r="M16">
        <v>20715</v>
      </c>
      <c r="N16">
        <v>1498</v>
      </c>
      <c r="O16">
        <v>833</v>
      </c>
      <c r="P16">
        <v>398</v>
      </c>
      <c r="Q16">
        <v>308</v>
      </c>
      <c r="R16">
        <v>499</v>
      </c>
      <c r="S16">
        <v>0</v>
      </c>
      <c r="T16">
        <v>997</v>
      </c>
      <c r="U16" s="1">
        <f>$B$5*C16/231</f>
        <v>0</v>
      </c>
      <c r="V16" s="2">
        <f>K16/U16</f>
        <v>0</v>
      </c>
    </row>
    <row r="17" spans="1:22">
      <c r="A17" t="s">
        <v>33</v>
      </c>
      <c r="B17" t="s">
        <v>40</v>
      </c>
      <c r="C17">
        <v>1240</v>
      </c>
      <c r="D17">
        <v>1200</v>
      </c>
      <c r="E17">
        <v>1000</v>
      </c>
      <c r="F17">
        <v>2</v>
      </c>
      <c r="G17">
        <v>2217</v>
      </c>
      <c r="H17">
        <v>2000</v>
      </c>
      <c r="I17">
        <v>0</v>
      </c>
      <c r="J17">
        <v>159</v>
      </c>
      <c r="K17" s="1">
        <v>63.99</v>
      </c>
      <c r="L17">
        <v>1017</v>
      </c>
      <c r="M17">
        <v>20715</v>
      </c>
      <c r="N17">
        <v>1506</v>
      </c>
      <c r="O17">
        <v>835</v>
      </c>
      <c r="P17">
        <v>2269</v>
      </c>
      <c r="Q17">
        <v>306</v>
      </c>
      <c r="R17">
        <v>575</v>
      </c>
      <c r="S17">
        <v>0</v>
      </c>
      <c r="T17">
        <v>387</v>
      </c>
      <c r="U17" s="1">
        <f>$B$5*C17/231</f>
        <v>0</v>
      </c>
      <c r="V17" s="2">
        <f>K17/U17</f>
        <v>0</v>
      </c>
    </row>
    <row r="18" spans="1:22">
      <c r="A18" t="s">
        <v>33</v>
      </c>
      <c r="B18" t="s">
        <v>41</v>
      </c>
      <c r="C18">
        <v>1197</v>
      </c>
      <c r="D18">
        <v>1200</v>
      </c>
      <c r="E18">
        <v>1000</v>
      </c>
      <c r="F18">
        <v>2</v>
      </c>
      <c r="G18">
        <v>1683</v>
      </c>
      <c r="H18">
        <v>2000</v>
      </c>
      <c r="I18">
        <v>0</v>
      </c>
      <c r="J18">
        <v>159</v>
      </c>
      <c r="K18" s="1">
        <v>74.11</v>
      </c>
      <c r="L18">
        <v>996</v>
      </c>
      <c r="M18">
        <v>20715</v>
      </c>
      <c r="N18">
        <v>1500</v>
      </c>
      <c r="O18">
        <v>833</v>
      </c>
      <c r="P18">
        <v>2199</v>
      </c>
      <c r="Q18">
        <v>306</v>
      </c>
      <c r="R18">
        <v>574</v>
      </c>
      <c r="S18">
        <v>0</v>
      </c>
      <c r="T18">
        <v>428</v>
      </c>
      <c r="U18" s="1">
        <f>$B$5*C18/231</f>
        <v>0</v>
      </c>
      <c r="V18" s="2">
        <f>K18/U18</f>
        <v>0</v>
      </c>
    </row>
    <row r="19" spans="1:22">
      <c r="A19" t="s">
        <v>33</v>
      </c>
      <c r="B19" t="s">
        <v>42</v>
      </c>
      <c r="C19">
        <v>1206</v>
      </c>
      <c r="D19">
        <v>1200</v>
      </c>
      <c r="E19">
        <v>1000</v>
      </c>
      <c r="F19">
        <v>2</v>
      </c>
      <c r="G19">
        <v>1150</v>
      </c>
      <c r="H19">
        <v>2000</v>
      </c>
      <c r="I19">
        <v>0</v>
      </c>
      <c r="J19">
        <v>156</v>
      </c>
      <c r="K19" s="1">
        <v>73.91</v>
      </c>
      <c r="L19">
        <v>1002</v>
      </c>
      <c r="M19">
        <v>20715</v>
      </c>
      <c r="N19">
        <v>1506</v>
      </c>
      <c r="O19">
        <v>833</v>
      </c>
      <c r="P19">
        <v>2299</v>
      </c>
      <c r="Q19">
        <v>307</v>
      </c>
      <c r="R19">
        <v>573</v>
      </c>
      <c r="S19">
        <v>0</v>
      </c>
      <c r="T19">
        <v>340</v>
      </c>
      <c r="U19" s="1">
        <f>$B$5*C19/231</f>
        <v>0</v>
      </c>
      <c r="V19" s="2">
        <f>K19/U19</f>
        <v>0</v>
      </c>
    </row>
    <row r="20" spans="1:22">
      <c r="A20" t="s">
        <v>33</v>
      </c>
      <c r="B20" t="s">
        <v>43</v>
      </c>
      <c r="C20">
        <v>1197</v>
      </c>
      <c r="D20">
        <v>1200</v>
      </c>
      <c r="E20">
        <v>1000</v>
      </c>
      <c r="F20">
        <v>2</v>
      </c>
      <c r="G20">
        <v>83</v>
      </c>
      <c r="H20">
        <v>2000</v>
      </c>
      <c r="I20">
        <v>0</v>
      </c>
      <c r="J20">
        <v>157</v>
      </c>
      <c r="K20" s="1">
        <v>9.720000000000001</v>
      </c>
      <c r="L20">
        <v>1041</v>
      </c>
      <c r="M20">
        <v>3928</v>
      </c>
      <c r="N20">
        <v>1506</v>
      </c>
      <c r="O20">
        <v>833</v>
      </c>
      <c r="P20">
        <v>369</v>
      </c>
      <c r="Q20">
        <v>307</v>
      </c>
      <c r="R20">
        <v>569</v>
      </c>
      <c r="S20">
        <v>0</v>
      </c>
      <c r="T20">
        <v>2263</v>
      </c>
      <c r="U20" s="1">
        <f>$B$5*C20/231</f>
        <v>0</v>
      </c>
      <c r="V20" s="2">
        <f>K20/U20</f>
        <v>0</v>
      </c>
    </row>
    <row r="21" spans="1:22">
      <c r="A21" t="s">
        <v>33</v>
      </c>
      <c r="B21" t="s">
        <v>44</v>
      </c>
      <c r="C21">
        <v>1184</v>
      </c>
      <c r="D21">
        <v>1200</v>
      </c>
      <c r="E21">
        <v>1000</v>
      </c>
      <c r="F21">
        <v>2</v>
      </c>
      <c r="G21">
        <v>0</v>
      </c>
      <c r="H21">
        <v>2000</v>
      </c>
      <c r="I21">
        <v>0</v>
      </c>
      <c r="J21">
        <v>159</v>
      </c>
      <c r="K21" s="1">
        <v>74.11</v>
      </c>
      <c r="L21">
        <v>993</v>
      </c>
      <c r="M21">
        <v>20715</v>
      </c>
      <c r="N21">
        <v>1506</v>
      </c>
      <c r="O21">
        <v>843</v>
      </c>
      <c r="P21">
        <v>398</v>
      </c>
      <c r="Q21">
        <v>307</v>
      </c>
      <c r="R21">
        <v>573</v>
      </c>
      <c r="S21">
        <v>0</v>
      </c>
      <c r="T21">
        <v>2111</v>
      </c>
      <c r="U21" s="1">
        <f>$B$5*C21/231</f>
        <v>0</v>
      </c>
      <c r="V21" s="2">
        <f>K21/U21</f>
        <v>0</v>
      </c>
    </row>
    <row r="22" spans="1:22">
      <c r="A22" t="s">
        <v>33</v>
      </c>
      <c r="B22" t="s">
        <v>45</v>
      </c>
      <c r="C22">
        <v>1178</v>
      </c>
      <c r="D22">
        <v>1200</v>
      </c>
      <c r="E22">
        <v>1000</v>
      </c>
      <c r="F22">
        <v>2</v>
      </c>
      <c r="G22">
        <v>0</v>
      </c>
      <c r="H22">
        <v>2000</v>
      </c>
      <c r="I22">
        <v>0</v>
      </c>
      <c r="J22">
        <v>159</v>
      </c>
      <c r="K22" s="1">
        <v>75.33</v>
      </c>
      <c r="L22">
        <v>1002</v>
      </c>
      <c r="M22">
        <v>20715</v>
      </c>
      <c r="N22">
        <v>1508</v>
      </c>
      <c r="O22">
        <v>849</v>
      </c>
      <c r="P22">
        <v>369</v>
      </c>
      <c r="Q22">
        <v>303</v>
      </c>
      <c r="R22">
        <v>569</v>
      </c>
      <c r="S22">
        <v>0</v>
      </c>
      <c r="T22">
        <v>2234</v>
      </c>
      <c r="U22" s="1">
        <f>$B$5*C22/231</f>
        <v>0</v>
      </c>
      <c r="V22" s="2">
        <f>K22/U22</f>
        <v>0</v>
      </c>
    </row>
    <row r="23" spans="1:22">
      <c r="A23" t="s">
        <v>33</v>
      </c>
      <c r="B23" t="s">
        <v>46</v>
      </c>
      <c r="C23">
        <v>1210</v>
      </c>
      <c r="D23">
        <v>1200</v>
      </c>
      <c r="E23">
        <v>1000</v>
      </c>
      <c r="F23">
        <v>3</v>
      </c>
      <c r="G23">
        <v>1298</v>
      </c>
      <c r="H23">
        <v>3000</v>
      </c>
      <c r="I23">
        <v>0</v>
      </c>
      <c r="J23">
        <v>159</v>
      </c>
      <c r="K23" s="1">
        <v>0.4</v>
      </c>
      <c r="L23">
        <v>1092</v>
      </c>
      <c r="M23">
        <v>182</v>
      </c>
      <c r="N23">
        <v>1516</v>
      </c>
      <c r="O23">
        <v>847</v>
      </c>
      <c r="P23">
        <v>451</v>
      </c>
      <c r="Q23">
        <v>309</v>
      </c>
      <c r="R23">
        <v>453</v>
      </c>
      <c r="S23">
        <v>0</v>
      </c>
      <c r="T23">
        <v>445</v>
      </c>
      <c r="U23" s="1">
        <f>$B$5*C23/231</f>
        <v>0</v>
      </c>
      <c r="V23" s="2">
        <f>K23/U23</f>
        <v>0</v>
      </c>
    </row>
    <row r="24" spans="1:22">
      <c r="A24" t="s">
        <v>33</v>
      </c>
      <c r="B24" t="s">
        <v>47</v>
      </c>
      <c r="C24">
        <v>1184</v>
      </c>
      <c r="D24">
        <v>1200</v>
      </c>
      <c r="E24">
        <v>1000</v>
      </c>
      <c r="F24">
        <v>3</v>
      </c>
      <c r="G24">
        <v>765</v>
      </c>
      <c r="H24">
        <v>3000</v>
      </c>
      <c r="I24">
        <v>0</v>
      </c>
      <c r="J24">
        <v>159</v>
      </c>
      <c r="K24" s="1">
        <v>0.4</v>
      </c>
      <c r="L24">
        <v>1110</v>
      </c>
      <c r="M24">
        <v>182</v>
      </c>
      <c r="N24">
        <v>1518</v>
      </c>
      <c r="O24">
        <v>847</v>
      </c>
      <c r="P24">
        <v>428</v>
      </c>
      <c r="Q24">
        <v>309</v>
      </c>
      <c r="R24">
        <v>452</v>
      </c>
      <c r="S24">
        <v>0</v>
      </c>
      <c r="T24">
        <v>451</v>
      </c>
      <c r="U24" s="1">
        <f>$B$5*C24/231</f>
        <v>0</v>
      </c>
      <c r="V24" s="2">
        <f>K24/U24</f>
        <v>0</v>
      </c>
    </row>
    <row r="25" spans="1:22">
      <c r="A25" t="s">
        <v>33</v>
      </c>
      <c r="B25" t="s">
        <v>48</v>
      </c>
      <c r="C25">
        <v>1206</v>
      </c>
      <c r="D25">
        <v>1200</v>
      </c>
      <c r="E25">
        <v>1000</v>
      </c>
      <c r="F25">
        <v>3</v>
      </c>
      <c r="G25">
        <v>0</v>
      </c>
      <c r="H25">
        <v>3000</v>
      </c>
      <c r="I25">
        <v>0</v>
      </c>
      <c r="J25">
        <v>157</v>
      </c>
      <c r="K25" s="1">
        <v>51.63</v>
      </c>
      <c r="L25">
        <v>1011</v>
      </c>
      <c r="M25">
        <v>20715</v>
      </c>
      <c r="N25">
        <v>1516</v>
      </c>
      <c r="O25">
        <v>849</v>
      </c>
      <c r="P25">
        <v>422</v>
      </c>
      <c r="Q25">
        <v>307</v>
      </c>
      <c r="R25">
        <v>624</v>
      </c>
      <c r="S25">
        <v>0</v>
      </c>
      <c r="T25">
        <v>3055</v>
      </c>
      <c r="U25" s="1">
        <f>$B$5*C25/231</f>
        <v>0</v>
      </c>
      <c r="V25" s="2">
        <f>K25/U25</f>
        <v>0</v>
      </c>
    </row>
    <row r="26" spans="1:22">
      <c r="A26" t="s">
        <v>33</v>
      </c>
      <c r="B26" t="s">
        <v>49</v>
      </c>
      <c r="C26">
        <v>1210</v>
      </c>
      <c r="D26">
        <v>1200</v>
      </c>
      <c r="E26">
        <v>1000</v>
      </c>
      <c r="F26">
        <v>3</v>
      </c>
      <c r="G26">
        <v>0</v>
      </c>
      <c r="H26">
        <v>3000</v>
      </c>
      <c r="I26">
        <v>0</v>
      </c>
      <c r="J26">
        <v>159</v>
      </c>
      <c r="K26" s="1">
        <v>74.72</v>
      </c>
      <c r="L26">
        <v>1005</v>
      </c>
      <c r="M26">
        <v>20715</v>
      </c>
      <c r="N26">
        <v>1516</v>
      </c>
      <c r="O26">
        <v>849</v>
      </c>
      <c r="P26">
        <v>351</v>
      </c>
      <c r="Q26">
        <v>302</v>
      </c>
      <c r="R26">
        <v>622</v>
      </c>
      <c r="S26">
        <v>0</v>
      </c>
      <c r="T26">
        <v>3026</v>
      </c>
      <c r="U26" s="1">
        <f>$B$5*C26/231</f>
        <v>0</v>
      </c>
      <c r="V26" s="2">
        <f>K26/U26</f>
        <v>0</v>
      </c>
    </row>
    <row r="27" spans="1:22">
      <c r="A27" t="s">
        <v>33</v>
      </c>
      <c r="B27" t="s">
        <v>50</v>
      </c>
      <c r="C27">
        <v>1204</v>
      </c>
      <c r="D27">
        <v>1200</v>
      </c>
      <c r="E27">
        <v>1000</v>
      </c>
      <c r="F27">
        <v>3</v>
      </c>
      <c r="G27">
        <v>0</v>
      </c>
      <c r="H27">
        <v>3000</v>
      </c>
      <c r="I27">
        <v>0</v>
      </c>
      <c r="J27">
        <v>156</v>
      </c>
      <c r="K27" s="1">
        <v>75.33</v>
      </c>
      <c r="L27">
        <v>1023</v>
      </c>
      <c r="M27">
        <v>20715</v>
      </c>
      <c r="N27">
        <v>1518</v>
      </c>
      <c r="O27">
        <v>845</v>
      </c>
      <c r="P27">
        <v>428</v>
      </c>
      <c r="Q27">
        <v>306</v>
      </c>
      <c r="R27">
        <v>625</v>
      </c>
      <c r="S27">
        <v>0</v>
      </c>
      <c r="T27">
        <v>2891</v>
      </c>
      <c r="U27" s="1">
        <f>$B$5*C27/231</f>
        <v>0</v>
      </c>
      <c r="V27" s="2">
        <f>K27/U27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2025-08-28T14:40:33Z</dcterms:created>
  <dcterms:modified xsi:type="dcterms:W3CDTF">2025-08-28T14:40:33Z</dcterms:modified>
</cp:coreProperties>
</file>