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Chart" sheetId="2" r:id="rId2"/>
  </sheets>
  <calcPr calcId="124519" fullCalcOnLoad="1"/>
</workbook>
</file>

<file path=xl/sharedStrings.xml><?xml version="1.0" encoding="utf-8"?>
<sst xmlns="http://schemas.openxmlformats.org/spreadsheetml/2006/main" count="43" uniqueCount="39">
  <si>
    <t>Program Name</t>
  </si>
  <si>
    <t>Description</t>
  </si>
  <si>
    <t>Employee ID</t>
  </si>
  <si>
    <t>Comp Set</t>
  </si>
  <si>
    <t>Input Factor</t>
  </si>
  <si>
    <t>Input Factor Type</t>
  </si>
  <si>
    <t>Serial Number</t>
  </si>
  <si>
    <t>Customer ID</t>
  </si>
  <si>
    <t>ole5</t>
  </si>
  <si>
    <t>Main Pump</t>
  </si>
  <si>
    <t>cu/in</t>
  </si>
  <si>
    <t>Date</t>
  </si>
  <si>
    <t>Time</t>
  </si>
  <si>
    <t>S1</t>
  </si>
  <si>
    <t>SP</t>
  </si>
  <si>
    <t>TP</t>
  </si>
  <si>
    <t>Cycle</t>
  </si>
  <si>
    <t>Cycle Timer</t>
  </si>
  <si>
    <t>LCSetpoint</t>
  </si>
  <si>
    <t>LC Regulate</t>
  </si>
  <si>
    <t>Step</t>
  </si>
  <si>
    <t>F1</t>
  </si>
  <si>
    <t>F2</t>
  </si>
  <si>
    <t>F3</t>
  </si>
  <si>
    <t>T1</t>
  </si>
  <si>
    <t>T3</t>
  </si>
  <si>
    <t>P1</t>
  </si>
  <si>
    <t>P2</t>
  </si>
  <si>
    <t>P3</t>
  </si>
  <si>
    <t>P4</t>
  </si>
  <si>
    <t>P5</t>
  </si>
  <si>
    <t>Theo Flow</t>
  </si>
  <si>
    <t>Efficiency</t>
  </si>
  <si>
    <t>2025-11-24</t>
  </si>
  <si>
    <t>20:45:41</t>
  </si>
  <si>
    <t>20:46:25</t>
  </si>
  <si>
    <t>20:46:31</t>
  </si>
  <si>
    <t>20:46:50</t>
  </si>
  <si>
    <t>20:46:56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</si>
</sst>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chartsheet" Target="chart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Efficiency Percentage Over Time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Efficiency (%)</c:v>
          </c:tx>
          <c:marker>
            <c:symbol val="circle"/>
          </c:marker>
          <c:cat>
            <c:strRef>
              <c:f>Data!$A$11:$A$15</c:f>
              <c:strCache>
                <c:ptCount val="5"/>
                <c:pt idx="0">
                  <c:v>2025-11-24</c:v>
                </c:pt>
                <c:pt idx="1">
                  <c:v>2025-11-24</c:v>
                </c:pt>
                <c:pt idx="2">
                  <c:v>2025-11-24</c:v>
                </c:pt>
                <c:pt idx="3">
                  <c:v>2025-11-24</c:v>
                </c:pt>
                <c:pt idx="4">
                  <c:v>2025-11-24</c:v>
                </c:pt>
              </c:strCache>
            </c:strRef>
          </c:cat>
          <c:val>
            <c:numRef>
              <c:f>Data!$V$11:$V$15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Index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Efficiency (%)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</c:chartSpace>
</file>

<file path=xl/chart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workbookViewId="0"/>
  </sheetViews>
  <pageMargins left="0.7" right="0.7" top="0.75" bottom="0.75" header="0.3" footer="0.3"/>
  <drawing r:id="rId1"/>
</chartsheet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8969" cy="607832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5"/>
  <sheetViews>
    <sheetView tabSelected="1" workbookViewId="0"/>
  </sheetViews>
  <sheetFormatPr defaultRowHeight="15"/>
  <cols>
    <col min="1" max="1" width="19.7109375" customWidth="1"/>
    <col min="2" max="2" width="10.7109375" customWidth="1"/>
    <col min="3" max="3" width="6.7109375" customWidth="1"/>
    <col min="4" max="4" width="6.7109375" customWidth="1"/>
    <col min="5" max="5" width="6.7109375" customWidth="1"/>
    <col min="6" max="6" width="7.7109375" customWidth="1"/>
    <col min="7" max="7" width="13.7109375" customWidth="1"/>
    <col min="8" max="8" width="12.7109375" customWidth="1"/>
    <col min="9" max="9" width="13.7109375" customWidth="1"/>
    <col min="10" max="10" width="6.7109375" customWidth="1"/>
    <col min="11" max="11" width="10.7109375" style="1" customWidth="1"/>
    <col min="12" max="12" width="7.7109375" customWidth="1"/>
    <col min="13" max="13" width="7.7109375" customWidth="1"/>
    <col min="14" max="14" width="6.7109375" customWidth="1"/>
    <col min="15" max="15" width="5.7109375" customWidth="1"/>
    <col min="16" max="16" width="6.7109375" customWidth="1"/>
    <col min="17" max="17" width="5.7109375" customWidth="1"/>
    <col min="18" max="18" width="5.7109375" customWidth="1"/>
    <col min="19" max="19" width="4.7109375" customWidth="1"/>
    <col min="20" max="20" width="6.7109375" customWidth="1"/>
    <col min="21" max="21" width="10.7109375" style="1" customWidth="1"/>
    <col min="22" max="22" width="10.7109375" style="2" customWidth="1"/>
  </cols>
  <sheetData>
    <row r="1" spans="1:22">
      <c r="A1" t="s">
        <v>0</v>
      </c>
      <c r="B1" t="s">
        <v>8</v>
      </c>
    </row>
    <row r="2" spans="1:22">
      <c r="A2" t="s">
        <v>1</v>
      </c>
      <c r="B2" t="s">
        <v>9</v>
      </c>
    </row>
    <row r="3" spans="1:22">
      <c r="A3" t="s">
        <v>2</v>
      </c>
      <c r="B3">
        <v>1437</v>
      </c>
    </row>
    <row r="4" spans="1:22">
      <c r="A4" t="s">
        <v>3</v>
      </c>
      <c r="B4">
        <v>4500</v>
      </c>
    </row>
    <row r="5" spans="1:22">
      <c r="A5" t="s">
        <v>4</v>
      </c>
      <c r="B5">
        <v>7.25</v>
      </c>
    </row>
    <row r="6" spans="1:22">
      <c r="A6" t="s">
        <v>5</v>
      </c>
      <c r="B6" t="s">
        <v>10</v>
      </c>
    </row>
    <row r="7" spans="1:22">
      <c r="A7" t="s">
        <v>6</v>
      </c>
      <c r="B7">
        <v>39708</v>
      </c>
    </row>
    <row r="8" spans="1:22">
      <c r="A8" t="s">
        <v>7</v>
      </c>
      <c r="B8">
        <v>123456</v>
      </c>
    </row>
    <row r="10" spans="1:22">
      <c r="A10" s="3" t="s">
        <v>11</v>
      </c>
      <c r="B10" s="3" t="s">
        <v>12</v>
      </c>
      <c r="C10" s="3" t="s">
        <v>13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  <c r="J10" s="3" t="s">
        <v>20</v>
      </c>
      <c r="K10" s="3" t="s">
        <v>21</v>
      </c>
      <c r="L10" s="3" t="s">
        <v>22</v>
      </c>
      <c r="M10" s="3" t="s">
        <v>23</v>
      </c>
      <c r="N10" s="3" t="s">
        <v>24</v>
      </c>
      <c r="O10" s="3" t="s">
        <v>25</v>
      </c>
      <c r="P10" s="3" t="s">
        <v>26</v>
      </c>
      <c r="Q10" s="3" t="s">
        <v>27</v>
      </c>
      <c r="R10" s="3" t="s">
        <v>28</v>
      </c>
      <c r="S10" s="3" t="s">
        <v>29</v>
      </c>
      <c r="T10" s="3" t="s">
        <v>30</v>
      </c>
      <c r="U10" s="3" t="s">
        <v>31</v>
      </c>
      <c r="V10" s="3" t="s">
        <v>32</v>
      </c>
    </row>
    <row r="11" spans="1:22">
      <c r="A11" t="s">
        <v>33</v>
      </c>
      <c r="B11" t="s">
        <v>34</v>
      </c>
      <c r="C11">
        <v>1197</v>
      </c>
      <c r="D11">
        <v>1200</v>
      </c>
      <c r="E11">
        <v>1000</v>
      </c>
      <c r="F11">
        <v>2</v>
      </c>
      <c r="G11">
        <v>0</v>
      </c>
      <c r="H11">
        <v>2000</v>
      </c>
      <c r="I11">
        <v>0</v>
      </c>
      <c r="J11">
        <v>159</v>
      </c>
      <c r="K11" s="1">
        <v>36.85</v>
      </c>
      <c r="L11">
        <v>496</v>
      </c>
      <c r="M11">
        <v>17172</v>
      </c>
      <c r="N11">
        <v>1420</v>
      </c>
      <c r="O11">
        <v>754</v>
      </c>
      <c r="P11">
        <v>451</v>
      </c>
      <c r="Q11">
        <v>316</v>
      </c>
      <c r="R11">
        <v>566</v>
      </c>
      <c r="S11">
        <v>0</v>
      </c>
      <c r="T11">
        <v>1835</v>
      </c>
      <c r="U11" s="1">
        <f>$B$5*C11/231</f>
        <v>0</v>
      </c>
      <c r="V11" s="2">
        <f>K11/U11</f>
        <v>0</v>
      </c>
    </row>
    <row r="12" spans="1:22">
      <c r="A12" t="s">
        <v>33</v>
      </c>
      <c r="B12" t="s">
        <v>35</v>
      </c>
      <c r="C12">
        <v>1243</v>
      </c>
      <c r="D12">
        <v>1200</v>
      </c>
      <c r="E12">
        <v>1000</v>
      </c>
      <c r="F12">
        <v>3</v>
      </c>
      <c r="G12">
        <v>2150</v>
      </c>
      <c r="H12">
        <v>3000</v>
      </c>
      <c r="I12">
        <v>0</v>
      </c>
      <c r="J12">
        <v>159</v>
      </c>
      <c r="K12" s="1">
        <v>21.06</v>
      </c>
      <c r="L12">
        <v>481</v>
      </c>
      <c r="M12">
        <v>10894</v>
      </c>
      <c r="N12">
        <v>1422</v>
      </c>
      <c r="O12">
        <v>754</v>
      </c>
      <c r="P12">
        <v>3055</v>
      </c>
      <c r="Q12">
        <v>316</v>
      </c>
      <c r="R12">
        <v>645</v>
      </c>
      <c r="S12">
        <v>0</v>
      </c>
      <c r="T12">
        <v>457</v>
      </c>
      <c r="U12" s="1">
        <f>$B$5*C12/231</f>
        <v>0</v>
      </c>
      <c r="V12" s="2">
        <f>K12/U12</f>
        <v>0</v>
      </c>
    </row>
    <row r="13" spans="1:22">
      <c r="A13" t="s">
        <v>33</v>
      </c>
      <c r="B13" t="s">
        <v>36</v>
      </c>
      <c r="C13">
        <v>1193</v>
      </c>
      <c r="D13">
        <v>1200</v>
      </c>
      <c r="E13">
        <v>1000</v>
      </c>
      <c r="F13">
        <v>3</v>
      </c>
      <c r="G13">
        <v>1483</v>
      </c>
      <c r="H13">
        <v>3000</v>
      </c>
      <c r="I13">
        <v>0</v>
      </c>
      <c r="J13">
        <v>159</v>
      </c>
      <c r="K13" s="1">
        <v>35.84</v>
      </c>
      <c r="L13">
        <v>475</v>
      </c>
      <c r="M13">
        <v>17374</v>
      </c>
      <c r="N13">
        <v>1420</v>
      </c>
      <c r="O13">
        <v>770</v>
      </c>
      <c r="P13">
        <v>3102</v>
      </c>
      <c r="Q13">
        <v>313</v>
      </c>
      <c r="R13">
        <v>638</v>
      </c>
      <c r="S13">
        <v>0</v>
      </c>
      <c r="T13">
        <v>457</v>
      </c>
      <c r="U13" s="1">
        <f>$B$5*C13/231</f>
        <v>0</v>
      </c>
      <c r="V13" s="2">
        <f>K13/U13</f>
        <v>0</v>
      </c>
    </row>
    <row r="14" spans="1:22">
      <c r="A14" t="s">
        <v>33</v>
      </c>
      <c r="B14" t="s">
        <v>37</v>
      </c>
      <c r="C14">
        <v>1202</v>
      </c>
      <c r="D14">
        <v>1200</v>
      </c>
      <c r="E14">
        <v>1000</v>
      </c>
      <c r="F14">
        <v>3</v>
      </c>
      <c r="G14">
        <v>0</v>
      </c>
      <c r="H14">
        <v>3000</v>
      </c>
      <c r="I14">
        <v>0</v>
      </c>
      <c r="J14">
        <v>159</v>
      </c>
      <c r="K14" s="1">
        <v>30.37</v>
      </c>
      <c r="L14">
        <v>493</v>
      </c>
      <c r="M14">
        <v>14438</v>
      </c>
      <c r="N14">
        <v>1420</v>
      </c>
      <c r="O14">
        <v>768</v>
      </c>
      <c r="P14">
        <v>451</v>
      </c>
      <c r="Q14">
        <v>315</v>
      </c>
      <c r="R14">
        <v>644</v>
      </c>
      <c r="S14">
        <v>0</v>
      </c>
      <c r="T14">
        <v>3055</v>
      </c>
      <c r="U14" s="1">
        <f>$B$5*C14/231</f>
        <v>0</v>
      </c>
      <c r="V14" s="2">
        <f>K14/U14</f>
        <v>0</v>
      </c>
    </row>
    <row r="15" spans="1:22">
      <c r="A15" t="s">
        <v>33</v>
      </c>
      <c r="B15" t="s">
        <v>38</v>
      </c>
      <c r="C15">
        <v>1148</v>
      </c>
      <c r="D15">
        <v>1200</v>
      </c>
      <c r="E15">
        <v>1000</v>
      </c>
      <c r="F15">
        <v>3</v>
      </c>
      <c r="G15">
        <v>0</v>
      </c>
      <c r="H15">
        <v>3000</v>
      </c>
      <c r="I15">
        <v>0</v>
      </c>
      <c r="J15">
        <v>159</v>
      </c>
      <c r="K15" s="1">
        <v>35.84</v>
      </c>
      <c r="L15">
        <v>469</v>
      </c>
      <c r="M15">
        <v>16969</v>
      </c>
      <c r="N15">
        <v>1422</v>
      </c>
      <c r="O15">
        <v>768</v>
      </c>
      <c r="P15">
        <v>422</v>
      </c>
      <c r="Q15">
        <v>312</v>
      </c>
      <c r="R15">
        <v>642</v>
      </c>
      <c r="S15">
        <v>0</v>
      </c>
      <c r="T15">
        <v>3085</v>
      </c>
      <c r="U15" s="1">
        <f>$B$5*C15/231</f>
        <v>0</v>
      </c>
      <c r="V15" s="2">
        <f>K15/U15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Data</vt:lpstr>
      <vt:lpstr>Chart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2025-11-24T20:48:39Z</dcterms:created>
  <dcterms:modified xsi:type="dcterms:W3CDTF">2025-11-24T20:48:39Z</dcterms:modified>
</cp:coreProperties>
</file>