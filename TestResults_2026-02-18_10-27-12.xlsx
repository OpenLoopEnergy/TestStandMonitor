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<sst xmlns="http://schemas.openxmlformats.org/spreadsheetml/2006/main" count="59" uniqueCount="47">
  <si>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</si>
  <si>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</si>
  <si>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</si>
  <si>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</si>
  <si>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</si>
  <si>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</si>
  <si>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</si>
  <si>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</si>
  <si>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</si>
  <si>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Main Pump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</si>
  <si>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</si>
  <si>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</si>
  <si>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</si>
  <si>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</si>
  <si>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</si>
  <si>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</si>
  <si>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</si>
  <si>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</si>
  <si>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</si>
  <si>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</si>
  <si>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</si>
  <si>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</si>
  <si>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</si>
  <si>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</si>
  <si>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</si>
  <si>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</si>
  <si>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</si>
  <si>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</si>
  <si>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</si>
  <si>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</si>
  <si>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</si>
  <si>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</si>
  <si>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</si>
  <si>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2026-02-18</t>
  </si>
  <si>
    <t>16:01:44</t>
  </si>
  <si>
    <t>16:02:24</t>
  </si>
  <si>
    <t>16:02:29</t>
  </si>
  <si>
    <t>16:02:44</t>
  </si>
  <si>
    <t>16:02:49</t>
  </si>
  <si>
    <t>16:02:55</t>
  </si>
  <si>
    <t>16:03:40</t>
  </si>
  <si>
    <t>16:03:45</t>
  </si>
  <si>
    <t>16:04:00</t>
  </si>
  <si>
    <t>16:04:05</t>
  </si>
  <si>
    <t>16:04:10</t>
  </si>
  <si>
    <t>16:05:10</t>
  </si>
  <si>
    <t>16:05:15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</si>
</sst>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(Filtered)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val>
            <c:numRef>
              <c:f>Data!$V$11:$V$23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.1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  <c:majorUnit val="0.1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3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2" width="8.7109375" customWidth="1"/>
    <col min="13" max="13" width="7.7109375" customWidth="1"/>
    <col min="14" max="14" width="6.7109375" customWidth="1"/>
    <col min="15" max="15" width="5.7109375" customWidth="1"/>
    <col min="16" max="16" width="6.7109375" customWidth="1"/>
    <col min="17" max="18" width="5.7109375" customWidth="1"/>
    <col min="19" max="19" width="4.7109375" customWidth="1"/>
    <col min="20" max="20" width="6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11</v>
      </c>
    </row>
    <row r="6" spans="1:22">
      <c r="A6" t="s">
        <v>5</v>
      </c>
      <c r="B6" t="s">
        <v>10</v>
      </c>
    </row>
    <row r="7" spans="1:22">
      <c r="A7" t="s">
        <v>6</v>
      </c>
      <c r="B7">
        <v>170036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1184</v>
      </c>
      <c r="D11">
        <v>1200</v>
      </c>
      <c r="E11">
        <v>1000</v>
      </c>
      <c r="F11">
        <v>1</v>
      </c>
      <c r="G11">
        <v>0</v>
      </c>
      <c r="H11">
        <v>0</v>
      </c>
      <c r="I11">
        <v>0</v>
      </c>
      <c r="J11">
        <v>130</v>
      </c>
      <c r="K11" s="1">
        <v>56.49</v>
      </c>
      <c r="L11">
        <v>987</v>
      </c>
      <c r="M11">
        <v>20715</v>
      </c>
      <c r="N11">
        <v>1404</v>
      </c>
      <c r="O11">
        <v>758</v>
      </c>
      <c r="P11">
        <v>439</v>
      </c>
      <c r="Q11">
        <v>287</v>
      </c>
      <c r="R11">
        <v>469</v>
      </c>
      <c r="S11">
        <v>0</v>
      </c>
      <c r="T11">
        <v>604</v>
      </c>
      <c r="U11" s="1">
        <f>$B$5*C11/231</f>
        <v>0</v>
      </c>
      <c r="V11" s="2">
        <f>IFERROR(IF(K11/U11&lt;0.1,NA(),K11/U11),NA())</f>
        <v>0</v>
      </c>
    </row>
    <row r="12" spans="1:22">
      <c r="A12" t="s">
        <v>33</v>
      </c>
      <c r="B12" t="s">
        <v>35</v>
      </c>
      <c r="C12">
        <v>1215</v>
      </c>
      <c r="D12">
        <v>1200</v>
      </c>
      <c r="E12">
        <v>1000</v>
      </c>
      <c r="F12">
        <v>1</v>
      </c>
      <c r="G12">
        <v>2038</v>
      </c>
      <c r="H12">
        <v>1000</v>
      </c>
      <c r="I12">
        <v>0</v>
      </c>
      <c r="J12">
        <v>159</v>
      </c>
      <c r="K12" s="1">
        <v>58.32</v>
      </c>
      <c r="L12">
        <v>1020</v>
      </c>
      <c r="M12">
        <v>20715</v>
      </c>
      <c r="N12">
        <v>1404</v>
      </c>
      <c r="O12">
        <v>756</v>
      </c>
      <c r="P12">
        <v>1067</v>
      </c>
      <c r="Q12">
        <v>293</v>
      </c>
      <c r="R12">
        <v>492</v>
      </c>
      <c r="S12">
        <v>0</v>
      </c>
      <c r="T12">
        <v>451</v>
      </c>
      <c r="U12" s="1">
        <f>$B$5*C12/231</f>
        <v>0</v>
      </c>
      <c r="V12" s="2">
        <f>IFERROR(IF(K12/U12&lt;0.1,NA(),K12/U12),NA())</f>
        <v>0</v>
      </c>
    </row>
    <row r="13" spans="1:22">
      <c r="A13" t="s">
        <v>33</v>
      </c>
      <c r="B13" t="s">
        <v>36</v>
      </c>
      <c r="C13">
        <v>1202</v>
      </c>
      <c r="D13">
        <v>1200</v>
      </c>
      <c r="E13">
        <v>1000</v>
      </c>
      <c r="F13">
        <v>1</v>
      </c>
      <c r="G13">
        <v>1505</v>
      </c>
      <c r="H13">
        <v>1000</v>
      </c>
      <c r="I13">
        <v>0</v>
      </c>
      <c r="J13">
        <v>159</v>
      </c>
      <c r="K13" s="1">
        <v>57.3</v>
      </c>
      <c r="L13">
        <v>1014</v>
      </c>
      <c r="M13">
        <v>20715</v>
      </c>
      <c r="N13">
        <v>1404</v>
      </c>
      <c r="O13">
        <v>756</v>
      </c>
      <c r="P13">
        <v>1038</v>
      </c>
      <c r="Q13">
        <v>289</v>
      </c>
      <c r="R13">
        <v>494</v>
      </c>
      <c r="S13">
        <v>0</v>
      </c>
      <c r="T13">
        <v>457</v>
      </c>
      <c r="U13" s="1">
        <f>$B$5*C13/231</f>
        <v>0</v>
      </c>
      <c r="V13" s="2">
        <f>IFERROR(IF(K13/U13&lt;0.1,NA(),K13/U13),NA())</f>
        <v>0</v>
      </c>
    </row>
    <row r="14" spans="1:22">
      <c r="A14" t="s">
        <v>33</v>
      </c>
      <c r="B14" t="s">
        <v>37</v>
      </c>
      <c r="C14">
        <v>1217</v>
      </c>
      <c r="D14">
        <v>1200</v>
      </c>
      <c r="E14">
        <v>1000</v>
      </c>
      <c r="F14">
        <v>1</v>
      </c>
      <c r="G14">
        <v>38</v>
      </c>
      <c r="H14">
        <v>1000</v>
      </c>
      <c r="I14">
        <v>0</v>
      </c>
      <c r="J14">
        <v>157</v>
      </c>
      <c r="K14" s="1">
        <v>3.24</v>
      </c>
      <c r="L14">
        <v>1041</v>
      </c>
      <c r="M14">
        <v>182</v>
      </c>
      <c r="N14">
        <v>1404</v>
      </c>
      <c r="O14">
        <v>754</v>
      </c>
      <c r="P14">
        <v>457</v>
      </c>
      <c r="Q14">
        <v>289</v>
      </c>
      <c r="R14">
        <v>488</v>
      </c>
      <c r="S14">
        <v>0</v>
      </c>
      <c r="T14">
        <v>1032</v>
      </c>
      <c r="U14" s="1">
        <f>$B$5*C14/231</f>
        <v>0</v>
      </c>
      <c r="V14" s="2">
        <f>IFERROR(IF(K14/U14&lt;0.1,NA(),K14/U14),NA())</f>
        <v>0</v>
      </c>
    </row>
    <row r="15" spans="1:22">
      <c r="A15" t="s">
        <v>33</v>
      </c>
      <c r="B15" t="s">
        <v>38</v>
      </c>
      <c r="C15">
        <v>1191</v>
      </c>
      <c r="D15">
        <v>1200</v>
      </c>
      <c r="E15">
        <v>1000</v>
      </c>
      <c r="F15">
        <v>1</v>
      </c>
      <c r="G15">
        <v>0</v>
      </c>
      <c r="H15">
        <v>1000</v>
      </c>
      <c r="I15">
        <v>0</v>
      </c>
      <c r="J15">
        <v>159</v>
      </c>
      <c r="K15" s="1">
        <v>56.49</v>
      </c>
      <c r="L15">
        <v>1017</v>
      </c>
      <c r="M15">
        <v>20715</v>
      </c>
      <c r="N15">
        <v>1404</v>
      </c>
      <c r="O15">
        <v>756</v>
      </c>
      <c r="P15">
        <v>445</v>
      </c>
      <c r="Q15">
        <v>291</v>
      </c>
      <c r="R15">
        <v>493</v>
      </c>
      <c r="S15">
        <v>0</v>
      </c>
      <c r="T15">
        <v>1002</v>
      </c>
      <c r="U15" s="1">
        <f>$B$5*C15/231</f>
        <v>0</v>
      </c>
      <c r="V15" s="2">
        <f>IFERROR(IF(K15/U15&lt;0.1,NA(),K15/U15),NA())</f>
        <v>0</v>
      </c>
    </row>
    <row r="16" spans="1:22">
      <c r="A16" t="s">
        <v>33</v>
      </c>
      <c r="B16" t="s">
        <v>39</v>
      </c>
      <c r="C16">
        <v>1202</v>
      </c>
      <c r="D16">
        <v>1200</v>
      </c>
      <c r="E16">
        <v>1000</v>
      </c>
      <c r="F16">
        <v>1</v>
      </c>
      <c r="G16">
        <v>0</v>
      </c>
      <c r="H16">
        <v>1000</v>
      </c>
      <c r="I16">
        <v>0</v>
      </c>
      <c r="J16">
        <v>156</v>
      </c>
      <c r="K16" s="1">
        <v>56.29</v>
      </c>
      <c r="L16">
        <v>1005</v>
      </c>
      <c r="M16">
        <v>20715</v>
      </c>
      <c r="N16">
        <v>1406</v>
      </c>
      <c r="O16">
        <v>758</v>
      </c>
      <c r="P16">
        <v>439</v>
      </c>
      <c r="Q16">
        <v>289</v>
      </c>
      <c r="R16">
        <v>492</v>
      </c>
      <c r="S16">
        <v>0</v>
      </c>
      <c r="T16">
        <v>1008</v>
      </c>
      <c r="U16" s="1">
        <f>$B$5*C16/231</f>
        <v>0</v>
      </c>
      <c r="V16" s="2">
        <f>IFERROR(IF(K16/U16&lt;0.1,NA(),K16/U16),NA())</f>
        <v>0</v>
      </c>
    </row>
    <row r="17" spans="1:22">
      <c r="A17" t="s">
        <v>33</v>
      </c>
      <c r="B17" t="s">
        <v>40</v>
      </c>
      <c r="C17">
        <v>1223</v>
      </c>
      <c r="D17">
        <v>1200</v>
      </c>
      <c r="E17">
        <v>1000</v>
      </c>
      <c r="F17">
        <v>2</v>
      </c>
      <c r="G17">
        <v>1842</v>
      </c>
      <c r="H17">
        <v>2000</v>
      </c>
      <c r="I17">
        <v>0</v>
      </c>
      <c r="J17">
        <v>159</v>
      </c>
      <c r="K17" s="1">
        <v>56.9</v>
      </c>
      <c r="L17">
        <v>1008</v>
      </c>
      <c r="M17">
        <v>20715</v>
      </c>
      <c r="N17">
        <v>1408</v>
      </c>
      <c r="O17">
        <v>770</v>
      </c>
      <c r="P17">
        <v>2211</v>
      </c>
      <c r="Q17">
        <v>290</v>
      </c>
      <c r="R17">
        <v>572</v>
      </c>
      <c r="S17">
        <v>0</v>
      </c>
      <c r="T17">
        <v>410</v>
      </c>
      <c r="U17" s="1">
        <f>$B$5*C17/231</f>
        <v>0</v>
      </c>
      <c r="V17" s="2">
        <f>IFERROR(IF(K17/U17&lt;0.1,NA(),K17/U17),NA())</f>
        <v>0</v>
      </c>
    </row>
    <row r="18" spans="1:22">
      <c r="A18" t="s">
        <v>33</v>
      </c>
      <c r="B18" t="s">
        <v>41</v>
      </c>
      <c r="C18">
        <v>1172</v>
      </c>
      <c r="D18">
        <v>1200</v>
      </c>
      <c r="E18">
        <v>1000</v>
      </c>
      <c r="F18">
        <v>2</v>
      </c>
      <c r="G18">
        <v>1309</v>
      </c>
      <c r="H18">
        <v>2000</v>
      </c>
      <c r="I18">
        <v>0</v>
      </c>
      <c r="J18">
        <v>159</v>
      </c>
      <c r="K18" s="1">
        <v>58.11</v>
      </c>
      <c r="L18">
        <v>966</v>
      </c>
      <c r="M18">
        <v>20715</v>
      </c>
      <c r="N18">
        <v>1412</v>
      </c>
      <c r="O18">
        <v>768</v>
      </c>
      <c r="P18">
        <v>2146</v>
      </c>
      <c r="Q18">
        <v>288</v>
      </c>
      <c r="R18">
        <v>568</v>
      </c>
      <c r="S18">
        <v>0</v>
      </c>
      <c r="T18">
        <v>428</v>
      </c>
      <c r="U18" s="1">
        <f>$B$5*C18/231</f>
        <v>0</v>
      </c>
      <c r="V18" s="2">
        <f>IFERROR(IF(K18/U18&lt;0.1,NA(),K18/U18),NA())</f>
        <v>0</v>
      </c>
    </row>
    <row r="19" spans="1:22">
      <c r="A19" t="s">
        <v>33</v>
      </c>
      <c r="B19" t="s">
        <v>42</v>
      </c>
      <c r="C19">
        <v>1208</v>
      </c>
      <c r="D19">
        <v>1200</v>
      </c>
      <c r="E19">
        <v>1000</v>
      </c>
      <c r="F19">
        <v>2</v>
      </c>
      <c r="G19">
        <v>0</v>
      </c>
      <c r="H19">
        <v>2000</v>
      </c>
      <c r="I19">
        <v>0</v>
      </c>
      <c r="J19">
        <v>159</v>
      </c>
      <c r="K19" s="1">
        <v>0.2</v>
      </c>
      <c r="L19">
        <v>1002</v>
      </c>
      <c r="M19">
        <v>81</v>
      </c>
      <c r="N19">
        <v>1414</v>
      </c>
      <c r="O19">
        <v>768</v>
      </c>
      <c r="P19">
        <v>486</v>
      </c>
      <c r="Q19">
        <v>288</v>
      </c>
      <c r="R19">
        <v>447</v>
      </c>
      <c r="S19">
        <v>0</v>
      </c>
      <c r="T19">
        <v>475</v>
      </c>
      <c r="U19" s="1">
        <f>$B$5*C19/231</f>
        <v>0</v>
      </c>
      <c r="V19" s="2">
        <f>IFERROR(IF(K19/U19&lt;0.1,NA(),K19/U19),NA())</f>
        <v>0</v>
      </c>
    </row>
    <row r="20" spans="1:22">
      <c r="A20" t="s">
        <v>33</v>
      </c>
      <c r="B20" t="s">
        <v>43</v>
      </c>
      <c r="C20">
        <v>1193</v>
      </c>
      <c r="D20">
        <v>1200</v>
      </c>
      <c r="E20">
        <v>1000</v>
      </c>
      <c r="F20">
        <v>2</v>
      </c>
      <c r="G20">
        <v>0</v>
      </c>
      <c r="H20">
        <v>2000</v>
      </c>
      <c r="I20">
        <v>0</v>
      </c>
      <c r="J20">
        <v>159</v>
      </c>
      <c r="K20" s="1">
        <v>0.2</v>
      </c>
      <c r="L20">
        <v>1008</v>
      </c>
      <c r="M20">
        <v>182</v>
      </c>
      <c r="N20">
        <v>1412</v>
      </c>
      <c r="O20">
        <v>768</v>
      </c>
      <c r="P20">
        <v>475</v>
      </c>
      <c r="Q20">
        <v>289</v>
      </c>
      <c r="R20">
        <v>449</v>
      </c>
      <c r="S20">
        <v>0</v>
      </c>
      <c r="T20">
        <v>469</v>
      </c>
      <c r="U20" s="1">
        <f>$B$5*C20/231</f>
        <v>0</v>
      </c>
      <c r="V20" s="2">
        <f>IFERROR(IF(K20/U20&lt;0.1,NA(),K20/U20),NA())</f>
        <v>0</v>
      </c>
    </row>
    <row r="21" spans="1:22">
      <c r="A21" t="s">
        <v>33</v>
      </c>
      <c r="B21" t="s">
        <v>44</v>
      </c>
      <c r="C21">
        <v>1189</v>
      </c>
      <c r="D21">
        <v>1200</v>
      </c>
      <c r="E21">
        <v>1000</v>
      </c>
      <c r="F21">
        <v>2</v>
      </c>
      <c r="G21">
        <v>0</v>
      </c>
      <c r="H21">
        <v>2000</v>
      </c>
      <c r="I21">
        <v>0</v>
      </c>
      <c r="J21">
        <v>156</v>
      </c>
      <c r="K21" s="1">
        <v>0.4</v>
      </c>
      <c r="L21">
        <v>1002</v>
      </c>
      <c r="M21">
        <v>182</v>
      </c>
      <c r="N21">
        <v>1418</v>
      </c>
      <c r="O21">
        <v>768</v>
      </c>
      <c r="P21">
        <v>469</v>
      </c>
      <c r="Q21">
        <v>289</v>
      </c>
      <c r="R21">
        <v>452</v>
      </c>
      <c r="S21">
        <v>0</v>
      </c>
      <c r="T21">
        <v>480</v>
      </c>
      <c r="U21" s="1">
        <f>$B$5*C21/231</f>
        <v>0</v>
      </c>
      <c r="V21" s="2">
        <f>IFERROR(IF(K21/U21&lt;0.1,NA(),K21/U21),NA())</f>
        <v>0</v>
      </c>
    </row>
    <row r="22" spans="1:22">
      <c r="A22" t="s">
        <v>33</v>
      </c>
      <c r="B22" t="s">
        <v>45</v>
      </c>
      <c r="C22">
        <v>1215</v>
      </c>
      <c r="D22">
        <v>1200</v>
      </c>
      <c r="E22">
        <v>1000</v>
      </c>
      <c r="F22">
        <v>3</v>
      </c>
      <c r="G22">
        <v>272</v>
      </c>
      <c r="H22">
        <v>3000</v>
      </c>
      <c r="I22">
        <v>0</v>
      </c>
      <c r="J22">
        <v>159</v>
      </c>
      <c r="K22" s="1">
        <v>55.08</v>
      </c>
      <c r="L22">
        <v>1002</v>
      </c>
      <c r="M22">
        <v>20715</v>
      </c>
      <c r="N22">
        <v>1422</v>
      </c>
      <c r="O22">
        <v>768</v>
      </c>
      <c r="P22">
        <v>3102</v>
      </c>
      <c r="Q22">
        <v>285</v>
      </c>
      <c r="R22">
        <v>632</v>
      </c>
      <c r="S22">
        <v>0</v>
      </c>
      <c r="T22">
        <v>422</v>
      </c>
      <c r="U22" s="1">
        <f>$B$5*C22/231</f>
        <v>0</v>
      </c>
      <c r="V22" s="2">
        <f>IFERROR(IF(K22/U22&lt;0.1,NA(),K22/U22),NA())</f>
        <v>0</v>
      </c>
    </row>
    <row r="23" spans="1:22">
      <c r="A23" t="s">
        <v>33</v>
      </c>
      <c r="B23" t="s">
        <v>46</v>
      </c>
      <c r="C23">
        <v>1210</v>
      </c>
      <c r="D23">
        <v>1200</v>
      </c>
      <c r="E23">
        <v>1000</v>
      </c>
      <c r="F23">
        <v>3</v>
      </c>
      <c r="G23">
        <v>0</v>
      </c>
      <c r="H23">
        <v>3000</v>
      </c>
      <c r="I23">
        <v>0</v>
      </c>
      <c r="J23">
        <v>159</v>
      </c>
      <c r="K23" s="1">
        <v>54.87</v>
      </c>
      <c r="L23">
        <v>1002</v>
      </c>
      <c r="M23">
        <v>20715</v>
      </c>
      <c r="N23">
        <v>1424</v>
      </c>
      <c r="O23">
        <v>779</v>
      </c>
      <c r="P23">
        <v>3085</v>
      </c>
      <c r="Q23">
        <v>286</v>
      </c>
      <c r="R23">
        <v>637</v>
      </c>
      <c r="S23">
        <v>0</v>
      </c>
      <c r="T23">
        <v>363</v>
      </c>
      <c r="U23" s="1">
        <f>$B$5*C23/231</f>
        <v>0</v>
      </c>
      <c r="V23" s="2">
        <f>IFERROR(IF(K23/U23&lt;0.1,NA(),K23/U23),NA())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2026-02-18T17:27:12Z</dcterms:created>
  <dcterms:modified xsi:type="dcterms:W3CDTF">2026-02-18T17:27:12Z</dcterms:modified>
</cp:coreProperties>
</file>