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Chart" sheetId="2" r:id="rId2"/>
  </sheets>
  <calcPr calcId="124519" fullCalcOnLoad="1"/>
</workbook>
</file>

<file path=xl/sharedStrings.xml><?xml version="1.0" encoding="utf-8"?>
<sst xmlns="http://schemas.openxmlformats.org/spreadsheetml/2006/main" count="67" uniqueCount="51">
  <si>
    <t>Program Name</t>
  </si>
  <si>
    <t>Description</t>
  </si>
  <si>
    <t>Employee ID</t>
  </si>
  <si>
    <t>Comp Set</t>
  </si>
  <si>
    <t>Input Factor</t>
  </si>
  <si>
    <t>Input Factor Type</t>
  </si>
  <si>
    <t>Serial Number</t>
  </si>
  <si>
    <t>Customer ID</t>
  </si>
  <si>
    <t>ole5</t>
  </si>
  <si>
    <t>Main Pump</t>
  </si>
  <si>
    <t>cu/in</t>
  </si>
  <si>
    <t>Date</t>
  </si>
  <si>
    <t>Time</t>
  </si>
  <si>
    <t>S1</t>
  </si>
  <si>
    <t>SP</t>
  </si>
  <si>
    <t>TP</t>
  </si>
  <si>
    <t>Cycle</t>
  </si>
  <si>
    <t>Cycle Timer</t>
  </si>
  <si>
    <t>LCSetpoint</t>
  </si>
  <si>
    <t>LC Regulate</t>
  </si>
  <si>
    <t>Step</t>
  </si>
  <si>
    <t>F1</t>
  </si>
  <si>
    <t>F2</t>
  </si>
  <si>
    <t>F3</t>
  </si>
  <si>
    <t>T1</t>
  </si>
  <si>
    <t>T3</t>
  </si>
  <si>
    <t>P1</t>
  </si>
  <si>
    <t>P2</t>
  </si>
  <si>
    <t>P3</t>
  </si>
  <si>
    <t>P4</t>
  </si>
  <si>
    <t>P5</t>
  </si>
  <si>
    <t>Theo Flow</t>
  </si>
  <si>
    <t>Efficiency</t>
  </si>
  <si>
    <t>2025-12-12</t>
  </si>
  <si>
    <t>18:42:00</t>
  </si>
  <si>
    <t>18:42:05</t>
  </si>
  <si>
    <t>18:42:11</t>
  </si>
  <si>
    <t>18:42:27</t>
  </si>
  <si>
    <t>18:42:33</t>
  </si>
  <si>
    <t>18:42:38</t>
  </si>
  <si>
    <t>18:43:21</t>
  </si>
  <si>
    <t>18:43:27</t>
  </si>
  <si>
    <t>18:43:38</t>
  </si>
  <si>
    <t>18:43:44</t>
  </si>
  <si>
    <t>18:43:49</t>
  </si>
  <si>
    <t>18:44:39</t>
  </si>
  <si>
    <t>18:44:44</t>
  </si>
  <si>
    <t>18:44:50</t>
  </si>
  <si>
    <t>18:45:02</t>
  </si>
  <si>
    <t>18:45:07</t>
  </si>
  <si>
    <t>18:45:13</t>
  </si>
</sst>
</file>

<file path=xl/styles.xml><?xml version="1.0" encoding="utf-8"?>
<styleSheet xmlns="http://schemas.openxmlformats.org/spreadsheetml/2006/main">
  <numFmts count="2">
    <numFmt numFmtId="164" formatCode="0.00"/>
    <numFmt numFmtId="165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chartsheet" Target="chart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Efficiency Percentage Over Time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Efficiency (%)</c:v>
          </c:tx>
          <c:marker>
            <c:symbol val="circle"/>
          </c:marker>
          <c:cat>
            <c:strRef>
              <c:f>Data!$A$11:$A$27</c:f>
              <c:strCache>
                <c:ptCount val="17"/>
                <c:pt idx="0">
                  <c:v>2025-12-12</c:v>
                </c:pt>
                <c:pt idx="1">
                  <c:v>2025-12-12</c:v>
                </c:pt>
                <c:pt idx="2">
                  <c:v>2025-12-12</c:v>
                </c:pt>
                <c:pt idx="3">
                  <c:v>2025-12-12</c:v>
                </c:pt>
                <c:pt idx="4">
                  <c:v>2025-12-12</c:v>
                </c:pt>
                <c:pt idx="5">
                  <c:v>2025-12-12</c:v>
                </c:pt>
                <c:pt idx="6">
                  <c:v>2025-12-12</c:v>
                </c:pt>
                <c:pt idx="7">
                  <c:v>2025-12-12</c:v>
                </c:pt>
                <c:pt idx="8">
                  <c:v>2025-12-12</c:v>
                </c:pt>
                <c:pt idx="9">
                  <c:v>2025-12-12</c:v>
                </c:pt>
                <c:pt idx="10">
                  <c:v>2025-12-12</c:v>
                </c:pt>
                <c:pt idx="11">
                  <c:v>2025-12-12</c:v>
                </c:pt>
                <c:pt idx="12">
                  <c:v>2025-12-12</c:v>
                </c:pt>
                <c:pt idx="13">
                  <c:v>2025-12-12</c:v>
                </c:pt>
                <c:pt idx="14">
                  <c:v>2025-12-12</c:v>
                </c:pt>
                <c:pt idx="15">
                  <c:v>2025-12-12</c:v>
                </c:pt>
                <c:pt idx="16">
                  <c:v>2025-12-12</c:v>
                </c:pt>
              </c:strCache>
            </c:strRef>
          </c:cat>
          <c:val>
            <c:numRef>
              <c:f>Data!$V$11:$V$27</c:f>
              <c:numCache>
                <c:formatCode>General</c:formatCode>
                <c:ptCount val="1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Index</a:t>
                </a:r>
              </a:p>
            </c:rich>
          </c:tx>
          <c:layout/>
        </c:title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Efficiency (%)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</c:chartSpace>
</file>

<file path=xl/chart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workbookViewId="0"/>
  </sheetViews>
  <pageMargins left="0.7" right="0.7" top="0.75" bottom="0.75" header="0.3" footer="0.3"/>
  <drawing r:id="rId1"/>
</chartsheet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308969" cy="6078325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27"/>
  <sheetViews>
    <sheetView tabSelected="1" workbookViewId="0"/>
  </sheetViews>
  <sheetFormatPr defaultRowHeight="15"/>
  <cols>
    <col min="1" max="1" width="19.7109375" customWidth="1"/>
    <col min="2" max="2" width="10.7109375" customWidth="1"/>
    <col min="3" max="3" width="6.7109375" customWidth="1"/>
    <col min="4" max="4" width="6.7109375" customWidth="1"/>
    <col min="5" max="5" width="6.7109375" customWidth="1"/>
    <col min="6" max="6" width="7.7109375" customWidth="1"/>
    <col min="7" max="7" width="13.7109375" customWidth="1"/>
    <col min="8" max="8" width="12.7109375" customWidth="1"/>
    <col min="9" max="9" width="13.7109375" customWidth="1"/>
    <col min="10" max="10" width="6.7109375" customWidth="1"/>
    <col min="11" max="11" width="10.7109375" style="1" customWidth="1"/>
    <col min="12" max="12" width="7.7109375" customWidth="1"/>
    <col min="13" max="13" width="7.7109375" customWidth="1"/>
    <col min="14" max="14" width="6.7109375" customWidth="1"/>
    <col min="15" max="15" width="5.7109375" customWidth="1"/>
    <col min="16" max="16" width="6.7109375" customWidth="1"/>
    <col min="17" max="17" width="5.7109375" customWidth="1"/>
    <col min="18" max="18" width="5.7109375" customWidth="1"/>
    <col min="19" max="19" width="4.7109375" customWidth="1"/>
    <col min="20" max="20" width="6.7109375" customWidth="1"/>
    <col min="21" max="21" width="10.7109375" style="1" customWidth="1"/>
    <col min="22" max="22" width="10.7109375" style="2" customWidth="1"/>
  </cols>
  <sheetData>
    <row r="1" spans="1:22">
      <c r="A1" t="s">
        <v>0</v>
      </c>
      <c r="B1" t="s">
        <v>8</v>
      </c>
    </row>
    <row r="2" spans="1:22">
      <c r="A2" t="s">
        <v>1</v>
      </c>
      <c r="B2" t="s">
        <v>9</v>
      </c>
    </row>
    <row r="3" spans="1:22">
      <c r="A3" t="s">
        <v>2</v>
      </c>
      <c r="B3">
        <v>1437</v>
      </c>
    </row>
    <row r="4" spans="1:22">
      <c r="A4" t="s">
        <v>3</v>
      </c>
      <c r="B4">
        <v>4500</v>
      </c>
    </row>
    <row r="5" spans="1:22">
      <c r="A5" t="s">
        <v>4</v>
      </c>
      <c r="B5">
        <v>7.25</v>
      </c>
    </row>
    <row r="6" spans="1:22">
      <c r="A6" t="s">
        <v>5</v>
      </c>
      <c r="B6" t="s">
        <v>10</v>
      </c>
    </row>
    <row r="7" spans="1:22">
      <c r="A7" t="s">
        <v>6</v>
      </c>
      <c r="B7">
        <v>39805</v>
      </c>
    </row>
    <row r="8" spans="1:22">
      <c r="A8" t="s">
        <v>7</v>
      </c>
      <c r="B8">
        <v>123456</v>
      </c>
    </row>
    <row r="10" spans="1:22">
      <c r="A10" s="3" t="s">
        <v>11</v>
      </c>
      <c r="B10" s="3" t="s">
        <v>12</v>
      </c>
      <c r="C10" s="3" t="s">
        <v>13</v>
      </c>
      <c r="D10" s="3" t="s">
        <v>14</v>
      </c>
      <c r="E10" s="3" t="s">
        <v>15</v>
      </c>
      <c r="F10" s="3" t="s">
        <v>16</v>
      </c>
      <c r="G10" s="3" t="s">
        <v>17</v>
      </c>
      <c r="H10" s="3" t="s">
        <v>18</v>
      </c>
      <c r="I10" s="3" t="s">
        <v>19</v>
      </c>
      <c r="J10" s="3" t="s">
        <v>20</v>
      </c>
      <c r="K10" s="3" t="s">
        <v>21</v>
      </c>
      <c r="L10" s="3" t="s">
        <v>22</v>
      </c>
      <c r="M10" s="3" t="s">
        <v>23</v>
      </c>
      <c r="N10" s="3" t="s">
        <v>24</v>
      </c>
      <c r="O10" s="3" t="s">
        <v>25</v>
      </c>
      <c r="P10" s="3" t="s">
        <v>26</v>
      </c>
      <c r="Q10" s="3" t="s">
        <v>27</v>
      </c>
      <c r="R10" s="3" t="s">
        <v>28</v>
      </c>
      <c r="S10" s="3" t="s">
        <v>29</v>
      </c>
      <c r="T10" s="3" t="s">
        <v>30</v>
      </c>
      <c r="U10" s="3" t="s">
        <v>31</v>
      </c>
      <c r="V10" s="3" t="s">
        <v>32</v>
      </c>
    </row>
    <row r="11" spans="1:22">
      <c r="A11" t="s">
        <v>33</v>
      </c>
      <c r="B11" t="s">
        <v>34</v>
      </c>
      <c r="C11">
        <v>1217</v>
      </c>
      <c r="D11">
        <v>1200</v>
      </c>
      <c r="E11">
        <v>1000</v>
      </c>
      <c r="F11">
        <v>1</v>
      </c>
      <c r="G11">
        <v>2544</v>
      </c>
      <c r="H11">
        <v>1000</v>
      </c>
      <c r="I11">
        <v>0</v>
      </c>
      <c r="J11">
        <v>157</v>
      </c>
      <c r="K11" s="1">
        <v>0.2</v>
      </c>
      <c r="L11">
        <v>620</v>
      </c>
      <c r="M11">
        <v>182</v>
      </c>
      <c r="N11">
        <v>1422</v>
      </c>
      <c r="O11">
        <v>795</v>
      </c>
      <c r="P11">
        <v>1038</v>
      </c>
      <c r="Q11">
        <v>302</v>
      </c>
      <c r="R11">
        <v>515</v>
      </c>
      <c r="S11">
        <v>0</v>
      </c>
      <c r="T11">
        <v>445</v>
      </c>
      <c r="U11" s="1">
        <f>$B$5*C11/231</f>
        <v>0</v>
      </c>
      <c r="V11" s="2">
        <f>K11/U11</f>
        <v>0</v>
      </c>
    </row>
    <row r="12" spans="1:22">
      <c r="A12" t="s">
        <v>33</v>
      </c>
      <c r="B12" t="s">
        <v>35</v>
      </c>
      <c r="C12">
        <v>1200</v>
      </c>
      <c r="D12">
        <v>1200</v>
      </c>
      <c r="E12">
        <v>1000</v>
      </c>
      <c r="F12">
        <v>1</v>
      </c>
      <c r="G12">
        <v>2010</v>
      </c>
      <c r="H12">
        <v>1000</v>
      </c>
      <c r="I12">
        <v>0</v>
      </c>
      <c r="J12">
        <v>159</v>
      </c>
      <c r="K12" s="1">
        <v>31.18</v>
      </c>
      <c r="L12">
        <v>556</v>
      </c>
      <c r="M12">
        <v>15248</v>
      </c>
      <c r="N12">
        <v>1422</v>
      </c>
      <c r="O12">
        <v>795</v>
      </c>
      <c r="P12">
        <v>1043</v>
      </c>
      <c r="Q12">
        <v>304</v>
      </c>
      <c r="R12">
        <v>513</v>
      </c>
      <c r="S12">
        <v>0</v>
      </c>
      <c r="T12">
        <v>428</v>
      </c>
      <c r="U12" s="1">
        <f>$B$5*C12/231</f>
        <v>0</v>
      </c>
      <c r="V12" s="2">
        <f>K12/U12</f>
        <v>0</v>
      </c>
    </row>
    <row r="13" spans="1:22">
      <c r="A13" t="s">
        <v>33</v>
      </c>
      <c r="B13" t="s">
        <v>36</v>
      </c>
      <c r="C13">
        <v>1191</v>
      </c>
      <c r="D13">
        <v>1200</v>
      </c>
      <c r="E13">
        <v>1000</v>
      </c>
      <c r="F13">
        <v>1</v>
      </c>
      <c r="G13">
        <v>1477</v>
      </c>
      <c r="H13">
        <v>1000</v>
      </c>
      <c r="I13">
        <v>0</v>
      </c>
      <c r="J13">
        <v>159</v>
      </c>
      <c r="K13" s="1">
        <v>31.59</v>
      </c>
      <c r="L13">
        <v>553</v>
      </c>
      <c r="M13">
        <v>15045</v>
      </c>
      <c r="N13">
        <v>1422</v>
      </c>
      <c r="O13">
        <v>795</v>
      </c>
      <c r="P13">
        <v>1038</v>
      </c>
      <c r="Q13">
        <v>303</v>
      </c>
      <c r="R13">
        <v>514</v>
      </c>
      <c r="S13">
        <v>0</v>
      </c>
      <c r="T13">
        <v>422</v>
      </c>
      <c r="U13" s="1">
        <f>$B$5*C13/231</f>
        <v>0</v>
      </c>
      <c r="V13" s="2">
        <f>K13/U13</f>
        <v>0</v>
      </c>
    </row>
    <row r="14" spans="1:22">
      <c r="A14" t="s">
        <v>33</v>
      </c>
      <c r="B14" t="s">
        <v>37</v>
      </c>
      <c r="C14">
        <v>1215</v>
      </c>
      <c r="D14">
        <v>1200</v>
      </c>
      <c r="E14">
        <v>1000</v>
      </c>
      <c r="F14">
        <v>1</v>
      </c>
      <c r="G14">
        <v>0</v>
      </c>
      <c r="H14">
        <v>1000</v>
      </c>
      <c r="I14">
        <v>0</v>
      </c>
      <c r="J14">
        <v>159</v>
      </c>
      <c r="K14" s="1">
        <v>31.59</v>
      </c>
      <c r="L14">
        <v>544</v>
      </c>
      <c r="M14">
        <v>14539</v>
      </c>
      <c r="N14">
        <v>1424</v>
      </c>
      <c r="O14">
        <v>795</v>
      </c>
      <c r="P14">
        <v>422</v>
      </c>
      <c r="Q14">
        <v>303</v>
      </c>
      <c r="R14">
        <v>512</v>
      </c>
      <c r="S14">
        <v>0</v>
      </c>
      <c r="T14">
        <v>1008</v>
      </c>
      <c r="U14" s="1">
        <f>$B$5*C14/231</f>
        <v>0</v>
      </c>
      <c r="V14" s="2">
        <f>K14/U14</f>
        <v>0</v>
      </c>
    </row>
    <row r="15" spans="1:22">
      <c r="A15" t="s">
        <v>33</v>
      </c>
      <c r="B15" t="s">
        <v>38</v>
      </c>
      <c r="C15">
        <v>1184</v>
      </c>
      <c r="D15">
        <v>1200</v>
      </c>
      <c r="E15">
        <v>1000</v>
      </c>
      <c r="F15">
        <v>1</v>
      </c>
      <c r="G15">
        <v>0</v>
      </c>
      <c r="H15">
        <v>1000</v>
      </c>
      <c r="I15">
        <v>0</v>
      </c>
      <c r="J15">
        <v>159</v>
      </c>
      <c r="K15" s="1">
        <v>33</v>
      </c>
      <c r="L15">
        <v>544</v>
      </c>
      <c r="M15">
        <v>15147</v>
      </c>
      <c r="N15">
        <v>1424</v>
      </c>
      <c r="O15">
        <v>795</v>
      </c>
      <c r="P15">
        <v>428</v>
      </c>
      <c r="Q15">
        <v>303</v>
      </c>
      <c r="R15">
        <v>512</v>
      </c>
      <c r="S15">
        <v>0</v>
      </c>
      <c r="T15">
        <v>1043</v>
      </c>
      <c r="U15" s="1">
        <f>$B$5*C15/231</f>
        <v>0</v>
      </c>
      <c r="V15" s="2">
        <f>K15/U15</f>
        <v>0</v>
      </c>
    </row>
    <row r="16" spans="1:22">
      <c r="A16" t="s">
        <v>33</v>
      </c>
      <c r="B16" t="s">
        <v>39</v>
      </c>
      <c r="C16">
        <v>1195</v>
      </c>
      <c r="D16">
        <v>1200</v>
      </c>
      <c r="E16">
        <v>1000</v>
      </c>
      <c r="F16">
        <v>2</v>
      </c>
      <c r="G16">
        <v>0</v>
      </c>
      <c r="H16">
        <v>1000</v>
      </c>
      <c r="I16">
        <v>0</v>
      </c>
      <c r="J16">
        <v>135</v>
      </c>
      <c r="K16" s="1">
        <v>32.8</v>
      </c>
      <c r="L16">
        <v>547</v>
      </c>
      <c r="M16">
        <v>14944</v>
      </c>
      <c r="N16">
        <v>1422</v>
      </c>
      <c r="O16">
        <v>795</v>
      </c>
      <c r="P16">
        <v>422</v>
      </c>
      <c r="Q16">
        <v>302</v>
      </c>
      <c r="R16">
        <v>504</v>
      </c>
      <c r="S16">
        <v>0</v>
      </c>
      <c r="T16">
        <v>1014</v>
      </c>
      <c r="U16" s="1">
        <f>$B$5*C16/231</f>
        <v>0</v>
      </c>
      <c r="V16" s="2">
        <f>K16/U16</f>
        <v>0</v>
      </c>
    </row>
    <row r="17" spans="1:22">
      <c r="A17" t="s">
        <v>33</v>
      </c>
      <c r="B17" t="s">
        <v>40</v>
      </c>
      <c r="C17">
        <v>1200</v>
      </c>
      <c r="D17">
        <v>1200</v>
      </c>
      <c r="E17">
        <v>1000</v>
      </c>
      <c r="F17">
        <v>2</v>
      </c>
      <c r="G17">
        <v>1814</v>
      </c>
      <c r="H17">
        <v>2000</v>
      </c>
      <c r="I17">
        <v>0</v>
      </c>
      <c r="J17">
        <v>159</v>
      </c>
      <c r="K17" s="1">
        <v>0.4</v>
      </c>
      <c r="L17">
        <v>583</v>
      </c>
      <c r="M17">
        <v>182</v>
      </c>
      <c r="N17">
        <v>1430</v>
      </c>
      <c r="O17">
        <v>808</v>
      </c>
      <c r="P17">
        <v>451</v>
      </c>
      <c r="Q17">
        <v>303</v>
      </c>
      <c r="R17">
        <v>475</v>
      </c>
      <c r="S17">
        <v>0</v>
      </c>
      <c r="T17">
        <v>439</v>
      </c>
      <c r="U17" s="1">
        <f>$B$5*C17/231</f>
        <v>0</v>
      </c>
      <c r="V17" s="2">
        <f>K17/U17</f>
        <v>0</v>
      </c>
    </row>
    <row r="18" spans="1:22">
      <c r="A18" t="s">
        <v>33</v>
      </c>
      <c r="B18" t="s">
        <v>41</v>
      </c>
      <c r="C18">
        <v>1200</v>
      </c>
      <c r="D18">
        <v>1200</v>
      </c>
      <c r="E18">
        <v>1000</v>
      </c>
      <c r="F18">
        <v>2</v>
      </c>
      <c r="G18">
        <v>1281</v>
      </c>
      <c r="H18">
        <v>2000</v>
      </c>
      <c r="I18">
        <v>0</v>
      </c>
      <c r="J18">
        <v>156</v>
      </c>
      <c r="K18" s="1">
        <v>0.4</v>
      </c>
      <c r="L18">
        <v>586</v>
      </c>
      <c r="M18">
        <v>182</v>
      </c>
      <c r="N18">
        <v>1436</v>
      </c>
      <c r="O18">
        <v>808</v>
      </c>
      <c r="P18">
        <v>451</v>
      </c>
      <c r="Q18">
        <v>303</v>
      </c>
      <c r="R18">
        <v>478</v>
      </c>
      <c r="S18">
        <v>0</v>
      </c>
      <c r="T18">
        <v>451</v>
      </c>
      <c r="U18" s="1">
        <f>$B$5*C18/231</f>
        <v>0</v>
      </c>
      <c r="V18" s="2">
        <f>K18/U18</f>
        <v>0</v>
      </c>
    </row>
    <row r="19" spans="1:22">
      <c r="A19" t="s">
        <v>33</v>
      </c>
      <c r="B19" t="s">
        <v>42</v>
      </c>
      <c r="C19">
        <v>1212</v>
      </c>
      <c r="D19">
        <v>1200</v>
      </c>
      <c r="E19">
        <v>1000</v>
      </c>
      <c r="F19">
        <v>2</v>
      </c>
      <c r="G19">
        <v>81</v>
      </c>
      <c r="H19">
        <v>2000</v>
      </c>
      <c r="I19">
        <v>0</v>
      </c>
      <c r="J19">
        <v>157</v>
      </c>
      <c r="K19" s="1">
        <v>0.4</v>
      </c>
      <c r="L19">
        <v>592</v>
      </c>
      <c r="M19">
        <v>81</v>
      </c>
      <c r="N19">
        <v>1436</v>
      </c>
      <c r="O19">
        <v>806</v>
      </c>
      <c r="P19">
        <v>451</v>
      </c>
      <c r="Q19">
        <v>302</v>
      </c>
      <c r="R19">
        <v>479</v>
      </c>
      <c r="S19">
        <v>0</v>
      </c>
      <c r="T19">
        <v>451</v>
      </c>
      <c r="U19" s="1">
        <f>$B$5*C19/231</f>
        <v>0</v>
      </c>
      <c r="V19" s="2">
        <f>K19/U19</f>
        <v>0</v>
      </c>
    </row>
    <row r="20" spans="1:22">
      <c r="A20" t="s">
        <v>33</v>
      </c>
      <c r="B20" t="s">
        <v>43</v>
      </c>
      <c r="C20">
        <v>1187</v>
      </c>
      <c r="D20">
        <v>1200</v>
      </c>
      <c r="E20">
        <v>1000</v>
      </c>
      <c r="F20">
        <v>2</v>
      </c>
      <c r="G20">
        <v>0</v>
      </c>
      <c r="H20">
        <v>2000</v>
      </c>
      <c r="I20">
        <v>0</v>
      </c>
      <c r="J20">
        <v>159</v>
      </c>
      <c r="K20" s="1">
        <v>0.4</v>
      </c>
      <c r="L20">
        <v>589</v>
      </c>
      <c r="M20">
        <v>182</v>
      </c>
      <c r="N20">
        <v>1432</v>
      </c>
      <c r="O20">
        <v>806</v>
      </c>
      <c r="P20">
        <v>451</v>
      </c>
      <c r="Q20">
        <v>303</v>
      </c>
      <c r="R20">
        <v>466</v>
      </c>
      <c r="S20">
        <v>0</v>
      </c>
      <c r="T20">
        <v>439</v>
      </c>
      <c r="U20" s="1">
        <f>$B$5*C20/231</f>
        <v>0</v>
      </c>
      <c r="V20" s="2">
        <f>K20/U20</f>
        <v>0</v>
      </c>
    </row>
    <row r="21" spans="1:22">
      <c r="A21" t="s">
        <v>33</v>
      </c>
      <c r="B21" t="s">
        <v>44</v>
      </c>
      <c r="C21">
        <v>1202</v>
      </c>
      <c r="D21">
        <v>1200</v>
      </c>
      <c r="E21">
        <v>1000</v>
      </c>
      <c r="F21">
        <v>2</v>
      </c>
      <c r="G21">
        <v>0</v>
      </c>
      <c r="H21">
        <v>2000</v>
      </c>
      <c r="I21">
        <v>0</v>
      </c>
      <c r="J21">
        <v>156</v>
      </c>
      <c r="K21" s="1">
        <v>0.2</v>
      </c>
      <c r="L21">
        <v>586</v>
      </c>
      <c r="M21">
        <v>182</v>
      </c>
      <c r="N21">
        <v>1434</v>
      </c>
      <c r="O21">
        <v>806</v>
      </c>
      <c r="P21">
        <v>457</v>
      </c>
      <c r="Q21">
        <v>302</v>
      </c>
      <c r="R21">
        <v>474</v>
      </c>
      <c r="S21">
        <v>0</v>
      </c>
      <c r="T21">
        <v>439</v>
      </c>
      <c r="U21" s="1">
        <f>$B$5*C21/231</f>
        <v>0</v>
      </c>
      <c r="V21" s="2">
        <f>K21/U21</f>
        <v>0</v>
      </c>
    </row>
    <row r="22" spans="1:22">
      <c r="A22" t="s">
        <v>33</v>
      </c>
      <c r="B22" t="s">
        <v>45</v>
      </c>
      <c r="C22">
        <v>1195</v>
      </c>
      <c r="D22">
        <v>1200</v>
      </c>
      <c r="E22">
        <v>1000</v>
      </c>
      <c r="F22">
        <v>3</v>
      </c>
      <c r="G22">
        <v>1429</v>
      </c>
      <c r="H22">
        <v>3000</v>
      </c>
      <c r="I22">
        <v>0</v>
      </c>
      <c r="J22">
        <v>157</v>
      </c>
      <c r="K22" s="1">
        <v>0.4</v>
      </c>
      <c r="L22">
        <v>586</v>
      </c>
      <c r="M22">
        <v>182</v>
      </c>
      <c r="N22">
        <v>1438</v>
      </c>
      <c r="O22">
        <v>818</v>
      </c>
      <c r="P22">
        <v>451</v>
      </c>
      <c r="Q22">
        <v>302</v>
      </c>
      <c r="R22">
        <v>462</v>
      </c>
      <c r="S22">
        <v>0</v>
      </c>
      <c r="T22">
        <v>428</v>
      </c>
      <c r="U22" s="1">
        <f>$B$5*C22/231</f>
        <v>0</v>
      </c>
      <c r="V22" s="2">
        <f>K22/U22</f>
        <v>0</v>
      </c>
    </row>
    <row r="23" spans="1:22">
      <c r="A23" t="s">
        <v>33</v>
      </c>
      <c r="B23" t="s">
        <v>46</v>
      </c>
      <c r="C23">
        <v>1176</v>
      </c>
      <c r="D23">
        <v>1200</v>
      </c>
      <c r="E23">
        <v>1000</v>
      </c>
      <c r="F23">
        <v>3</v>
      </c>
      <c r="G23">
        <v>896</v>
      </c>
      <c r="H23">
        <v>3000</v>
      </c>
      <c r="I23">
        <v>0</v>
      </c>
      <c r="J23">
        <v>159</v>
      </c>
      <c r="K23" s="1">
        <v>0.4</v>
      </c>
      <c r="L23">
        <v>577</v>
      </c>
      <c r="M23">
        <v>182</v>
      </c>
      <c r="N23">
        <v>1436</v>
      </c>
      <c r="O23">
        <v>818</v>
      </c>
      <c r="P23">
        <v>457</v>
      </c>
      <c r="Q23">
        <v>302</v>
      </c>
      <c r="R23">
        <v>476</v>
      </c>
      <c r="S23">
        <v>0</v>
      </c>
      <c r="T23">
        <v>451</v>
      </c>
      <c r="U23" s="1">
        <f>$B$5*C23/231</f>
        <v>0</v>
      </c>
      <c r="V23" s="2">
        <f>K23/U23</f>
        <v>0</v>
      </c>
    </row>
    <row r="24" spans="1:22">
      <c r="A24" t="s">
        <v>33</v>
      </c>
      <c r="B24" t="s">
        <v>47</v>
      </c>
      <c r="C24">
        <v>1191</v>
      </c>
      <c r="D24">
        <v>1200</v>
      </c>
      <c r="E24">
        <v>1000</v>
      </c>
      <c r="F24">
        <v>3</v>
      </c>
      <c r="G24">
        <v>229</v>
      </c>
      <c r="H24">
        <v>3000</v>
      </c>
      <c r="I24">
        <v>0</v>
      </c>
      <c r="J24">
        <v>156</v>
      </c>
      <c r="K24" s="1">
        <v>0.4</v>
      </c>
      <c r="L24">
        <v>586</v>
      </c>
      <c r="M24">
        <v>182</v>
      </c>
      <c r="N24">
        <v>1438</v>
      </c>
      <c r="O24">
        <v>822</v>
      </c>
      <c r="P24">
        <v>457</v>
      </c>
      <c r="Q24">
        <v>302</v>
      </c>
      <c r="R24">
        <v>473</v>
      </c>
      <c r="S24">
        <v>0</v>
      </c>
      <c r="T24">
        <v>439</v>
      </c>
      <c r="U24" s="1">
        <f>$B$5*C24/231</f>
        <v>0</v>
      </c>
      <c r="V24" s="2">
        <f>K24/U24</f>
        <v>0</v>
      </c>
    </row>
    <row r="25" spans="1:22">
      <c r="A25" t="s">
        <v>33</v>
      </c>
      <c r="B25" t="s">
        <v>48</v>
      </c>
      <c r="C25">
        <v>1204</v>
      </c>
      <c r="D25">
        <v>1200</v>
      </c>
      <c r="E25">
        <v>1000</v>
      </c>
      <c r="F25">
        <v>3</v>
      </c>
      <c r="G25">
        <v>0</v>
      </c>
      <c r="H25">
        <v>3000</v>
      </c>
      <c r="I25">
        <v>0</v>
      </c>
      <c r="J25">
        <v>157</v>
      </c>
      <c r="K25" s="1">
        <v>13.56</v>
      </c>
      <c r="L25">
        <v>614</v>
      </c>
      <c r="M25">
        <v>6156</v>
      </c>
      <c r="N25">
        <v>1436</v>
      </c>
      <c r="O25">
        <v>820</v>
      </c>
      <c r="P25">
        <v>475</v>
      </c>
      <c r="Q25">
        <v>299</v>
      </c>
      <c r="R25">
        <v>645</v>
      </c>
      <c r="S25">
        <v>0</v>
      </c>
      <c r="T25">
        <v>2821</v>
      </c>
      <c r="U25" s="1">
        <f>$B$5*C25/231</f>
        <v>0</v>
      </c>
      <c r="V25" s="2">
        <f>K25/U25</f>
        <v>0</v>
      </c>
    </row>
    <row r="26" spans="1:22">
      <c r="A26" t="s">
        <v>33</v>
      </c>
      <c r="B26" t="s">
        <v>49</v>
      </c>
      <c r="C26">
        <v>1234</v>
      </c>
      <c r="D26">
        <v>1200</v>
      </c>
      <c r="E26">
        <v>1000</v>
      </c>
      <c r="F26">
        <v>3</v>
      </c>
      <c r="G26">
        <v>0</v>
      </c>
      <c r="H26">
        <v>3000</v>
      </c>
      <c r="I26">
        <v>0</v>
      </c>
      <c r="J26">
        <v>159</v>
      </c>
      <c r="K26" s="1">
        <v>30.78</v>
      </c>
      <c r="L26">
        <v>592</v>
      </c>
      <c r="M26">
        <v>13628</v>
      </c>
      <c r="N26">
        <v>1436</v>
      </c>
      <c r="O26">
        <v>820</v>
      </c>
      <c r="P26">
        <v>381</v>
      </c>
      <c r="Q26">
        <v>298</v>
      </c>
      <c r="R26">
        <v>625</v>
      </c>
      <c r="S26">
        <v>0</v>
      </c>
      <c r="T26">
        <v>3049</v>
      </c>
      <c r="U26" s="1">
        <f>$B$5*C26/231</f>
        <v>0</v>
      </c>
      <c r="V26" s="2">
        <f>K26/U26</f>
        <v>0</v>
      </c>
    </row>
    <row r="27" spans="1:22">
      <c r="A27" t="s">
        <v>33</v>
      </c>
      <c r="B27" t="s">
        <v>50</v>
      </c>
      <c r="C27">
        <v>1191</v>
      </c>
      <c r="D27">
        <v>1200</v>
      </c>
      <c r="E27">
        <v>1000</v>
      </c>
      <c r="F27">
        <v>3</v>
      </c>
      <c r="G27">
        <v>0</v>
      </c>
      <c r="H27">
        <v>3000</v>
      </c>
      <c r="I27">
        <v>0</v>
      </c>
      <c r="J27">
        <v>156</v>
      </c>
      <c r="K27" s="1">
        <v>31.99</v>
      </c>
      <c r="L27">
        <v>586</v>
      </c>
      <c r="M27">
        <v>14640</v>
      </c>
      <c r="N27">
        <v>1436</v>
      </c>
      <c r="O27">
        <v>822</v>
      </c>
      <c r="P27">
        <v>398</v>
      </c>
      <c r="Q27">
        <v>300</v>
      </c>
      <c r="R27">
        <v>643</v>
      </c>
      <c r="S27">
        <v>0</v>
      </c>
      <c r="T27">
        <v>3002</v>
      </c>
      <c r="U27" s="1">
        <f>$B$5*C27/231</f>
        <v>0</v>
      </c>
      <c r="V27" s="2">
        <f>K27/U27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Charts</vt:lpstr>
      </vt:variant>
      <vt:variant>
        <vt:i4>1</vt:i4>
      </vt:variant>
    </vt:vector>
  </HeadingPairs>
  <TitlesOfParts>
    <vt:vector size="2" baseType="lpstr">
      <vt:lpstr>Data</vt:lpstr>
      <vt:lpstr>Chart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2025-12-12T18:47:29Z</dcterms:created>
  <dcterms:modified xsi:type="dcterms:W3CDTF">2025-12-12T18:47:29Z</dcterms:modified>
</cp:coreProperties>
</file>